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Test Scenario" sheetId="1" r:id="rId4"/>
    <sheet name="Test Case" sheetId="2" r:id="rId5"/>
    <sheet name="Test Data" sheetId="3" r:id="rId6"/>
    <sheet name="Bug" sheetId="4" r:id="rId7"/>
    <sheet name="Test Report" sheetId="5" r:id="rId8"/>
    <sheet name="Task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<sst xmlns="http://schemas.openxmlformats.org/spreadsheetml/2006/main" uniqueCount="430">
  <si>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Project Name</t>
  </si>
  <si>
    <t>Carwash IoT System</t>
  </si>
  <si>
    <t>No</t>
  </si>
  <si>
    <t>Function Name</t>
  </si>
  <si>
    <t>Number Of TC</t>
  </si>
  <si>
    <t>Description</t>
  </si>
  <si>
    <t>Notes</t>
  </si>
  <si>
    <t>Project Code</t>
  </si>
  <si>
    <t>CAPSTONE-CARWASH-IOT</t>
  </si>
  <si>
    <t>User Story 1</t>
  </si>
  <si>
    <t>Authentication &amp; RBAC</t>
  </si>
  <si>
    <t>Login, logout, role guard, inactive user</t>
  </si>
  <si>
    <t>Test Environment Setup Description</t>
  </si>
  <si>
    <t>Development / Localhost</t>
  </si>
  <si>
    <t>User Story 2</t>
  </si>
  <si>
    <t>Dashboard</t>
  </si>
  <si>
    <t>Summary cards and location based dashboard</t>
  </si>
  <si>
    <t>User Story 3</t>
  </si>
  <si>
    <t>Monitoring</t>
  </si>
  <si>
    <t>Sensor status and live detection checks</t>
  </si>
  <si>
    <t>User Story 4</t>
  </si>
  <si>
    <t>Reports</t>
  </si>
  <si>
    <t>Summary, PDF, Excel, audit exports</t>
  </si>
  <si>
    <t>User Story 5</t>
  </si>
  <si>
    <t>Sensor Management</t>
  </si>
  <si>
    <t>Sensor CRUD and validation</t>
  </si>
  <si>
    <t>User Story 6</t>
  </si>
  <si>
    <t>User Management</t>
  </si>
  <si>
    <t>RBAC user CRUD</t>
  </si>
  <si>
    <t>User Story 7</t>
  </si>
  <si>
    <t>Location Management</t>
  </si>
  <si>
    <t>Location CRUD and capacity checks</t>
  </si>
  <si>
    <t>User Story 8</t>
  </si>
  <si>
    <t>Audit Logs</t>
  </si>
  <si>
    <t>Trace login and CRUD events</t>
  </si>
  <si>
    <t>User Story 9</t>
  </si>
  <si>
    <t>IoT API Mock</t>
  </si>
  <si>
    <t>Mock endpoint before real hardware integration</t>
  </si>
  <si>
    <t>Module Code</t>
  </si>
  <si>
    <t>Test requirement</t>
  </si>
  <si>
    <t>Functional, Non Functional</t>
  </si>
  <si>
    <t>Tester</t>
  </si>
  <si>
    <t>Ricky</t>
  </si>
  <si>
    <t>Results</t>
  </si>
  <si>
    <t>Pass</t>
  </si>
  <si>
    <t>Fail</t>
  </si>
  <si>
    <t>Pending</t>
  </si>
  <si>
    <t>Blocked</t>
  </si>
  <si>
    <t>Invalid</t>
  </si>
  <si>
    <t>Number of testcases</t>
  </si>
  <si>
    <t>User Story</t>
  </si>
  <si>
    <t>Date Tested</t>
  </si>
  <si>
    <t>Module</t>
  </si>
  <si>
    <t>ID TestCase</t>
  </si>
  <si>
    <t>Scenario Type</t>
  </si>
  <si>
    <t>Test Case Description</t>
  </si>
  <si>
    <t>Precondition</t>
  </si>
  <si>
    <t>Test Step</t>
  </si>
  <si>
    <t>Expected Result</t>
  </si>
  <si>
    <t>Status</t>
  </si>
  <si>
    <t>Methode to use</t>
  </si>
  <si>
    <t>Comments</t>
  </si>
  <si>
    <t>2026-05-30 00:00:00</t>
  </si>
  <si>
    <t>TC_AUTH_001</t>
  </si>
  <si>
    <t>Positive</t>
  </si>
  <si>
    <t>Owner login with valid credentials</t>
  </si>
  <si>
    <t>Owner account exists and active</t>
  </si>
  <si>
    <t>1. Open login page.
2. Enter puji@carwash.test / puji123.
3. Click Login.</t>
  </si>
  <si>
    <t>User is redirected to dashboard and owner menu is visible.</t>
  </si>
  <si>
    <t>Manual</t>
  </si>
  <si>
    <t>TC_AUTH_002</t>
  </si>
  <si>
    <t>Admin login with valid credentials</t>
  </si>
  <si>
    <t>Admin account exists and active</t>
  </si>
  <si>
    <t>1. Open login page.
2. Enter admin credential.
3. Click Login.</t>
  </si>
  <si>
    <t>Admin is redirected to dashboard and can access operational menus.</t>
  </si>
  <si>
    <t>TC_AUTH_003</t>
  </si>
  <si>
    <t>Cashier login with valid credentials</t>
  </si>
  <si>
    <t>Cashier account exists and active</t>
  </si>
  <si>
    <t>1. Open login page.
2. Enter cashier credential.
3. Click Login.</t>
  </si>
  <si>
    <t>Cashier is redirected and restricted from owner/admin-only pages.</t>
  </si>
  <si>
    <t>TC_AUTH_004</t>
  </si>
  <si>
    <t>Negative</t>
  </si>
  <si>
    <t>Login with wrong password</t>
  </si>
  <si>
    <t>User is on login page</t>
  </si>
  <si>
    <t>1. Enter valid email.
2. Enter wrong password.
3. Click Login.</t>
  </si>
  <si>
    <t>System rejects login and shows invalid credential message.</t>
  </si>
  <si>
    <t>TC_AUTH_005</t>
  </si>
  <si>
    <t>Login with blank required fields</t>
  </si>
  <si>
    <t>1. Leave email or password blank.
2. Click Login.</t>
  </si>
  <si>
    <t>Form validation prevents login request or shows required field message.</t>
  </si>
  <si>
    <t>TC_AUTH_006</t>
  </si>
  <si>
    <t>Cashier opens Users page directly</t>
  </si>
  <si>
    <t>Cashier is already logged in</t>
  </si>
  <si>
    <t>1. Navigate to /users from URL.</t>
  </si>
  <si>
    <t>Access is denied or redirected according to role guard.</t>
  </si>
  <si>
    <t>TC_AUTH_007</t>
  </si>
  <si>
    <t>Logout from sidebar</t>
  </si>
  <si>
    <t>User is logged in</t>
  </si>
  <si>
    <t>1. Click Logout button in sidebar.</t>
  </si>
  <si>
    <t>Token is cleared and user returns to login page.</t>
  </si>
  <si>
    <t>TC_AUTH_008</t>
  </si>
  <si>
    <t>Inactive user cannot login</t>
  </si>
  <si>
    <t>Inactive user exists in database</t>
  </si>
  <si>
    <t>1. Enter inactive user credential.
2. Click Login.</t>
  </si>
  <si>
    <t>System blocks login and records failed audit event.</t>
  </si>
  <si>
    <t>TC_DASH_001</t>
  </si>
  <si>
    <t>Dashboard loads summary cards</t>
  </si>
  <si>
    <t>Owner/Admin is logged in</t>
  </si>
  <si>
    <t>1. Open Dashboard.
2. Select active location.</t>
  </si>
  <si>
    <t>Summary cards display total capacity, occupied slots, available slots, and sensor status.</t>
  </si>
  <si>
    <t>TC_DASH_002</t>
  </si>
  <si>
    <t>Location selector changes dashboard data</t>
  </si>
  <si>
    <t>Multiple locations exist</t>
  </si>
  <si>
    <t>1. Change location from top selector.</t>
  </si>
  <si>
    <t>Dashboard refreshes metrics for selected location only.</t>
  </si>
  <si>
    <t>TC_DASH_003</t>
  </si>
  <si>
    <t>Dashboard handles empty location</t>
  </si>
  <si>
    <t>Location has no vehicle entries</t>
  </si>
  <si>
    <t>1. Select location without entries.</t>
  </si>
  <si>
    <t>Dashboard displays zero counts without broken UI.</t>
  </si>
  <si>
    <t>TC_DASH_004</t>
  </si>
  <si>
    <t>Dashboard request without token</t>
  </si>
  <si>
    <t>User token is missing/expired</t>
  </si>
  <si>
    <t>1. Clear token.
2. Open dashboard API/page.</t>
  </si>
  <si>
    <t>System redirects to login or returns unauthorized response.</t>
  </si>
  <si>
    <t>TC_DASH_005</t>
  </si>
  <si>
    <t>Dashboard with invalid location id</t>
  </si>
  <si>
    <t>1. Request dashboard with invalid location_id.</t>
  </si>
  <si>
    <t>System returns validation/not found response and UI remains stable.</t>
  </si>
  <si>
    <t>API/Manual</t>
  </si>
  <si>
    <t>TC_MON_001</t>
  </si>
  <si>
    <t>Monitoring page displays active sensors</t>
  </si>
  <si>
    <t>Sensor data exists</t>
  </si>
  <si>
    <t>1. Open Monitoring.</t>
  </si>
  <si>
    <t>Sensor list/cards show latest status, distance, and occupancy state.</t>
  </si>
  <si>
    <t>TC_MON_002</t>
  </si>
  <si>
    <t>Monitoring follows selected location</t>
  </si>
  <si>
    <t>Multiple locations/sensors exist</t>
  </si>
  <si>
    <t>1. Select another location.
2. Open Monitoring.</t>
  </si>
  <si>
    <t>Only sensors from selected location are displayed.</t>
  </si>
  <si>
    <t>TC_MON_003</t>
  </si>
  <si>
    <t>Vehicle detection updates monitoring</t>
  </si>
  <si>
    <t>Device key and sensor are valid</t>
  </si>
  <si>
    <t>1. Send valid vehicle detection payload to IoT endpoint.
2. Refresh Monitoring.</t>
  </si>
  <si>
    <t>Sensor status/count reflects the new detection.</t>
  </si>
  <si>
    <t>TC_MON_004</t>
  </si>
  <si>
    <t>Inactive sensor payload is rejected</t>
  </si>
  <si>
    <t>Sensor status is inactive</t>
  </si>
  <si>
    <t>1. Send vehicle detection payload for inactive sensor.</t>
  </si>
  <si>
    <t>API rejects payload and no vehicle entry is created.</t>
  </si>
  <si>
    <t>API</t>
  </si>
  <si>
    <t>TC_MON_005</t>
  </si>
  <si>
    <t>Duplicate device_event_id is rejected</t>
  </si>
  <si>
    <t>Vehicle event already sent once</t>
  </si>
  <si>
    <t>1. Send same payload twice with same device_event_id.</t>
  </si>
  <si>
    <t>Second request is rejected as duplicate.</t>
  </si>
  <si>
    <t>TC_REP_001</t>
  </si>
  <si>
    <t>Generate daily vehicle summary</t>
  </si>
  <si>
    <t>Vehicle entries exist for selected date</t>
  </si>
  <si>
    <t>1. Open Reports.
2. Choose date range and location.
3. Generate summary.</t>
  </si>
  <si>
    <t>Report table displays total vehicle count for selected filters.</t>
  </si>
  <si>
    <t>TC_REP_002</t>
  </si>
  <si>
    <t>Export vehicle summary PDF</t>
  </si>
  <si>
    <t>Report filter is valid</t>
  </si>
  <si>
    <t>1. Click Export PDF.</t>
  </si>
  <si>
    <t>Browser downloads PDF report successfully.</t>
  </si>
  <si>
    <t>TC_REP_003</t>
  </si>
  <si>
    <t>Export vehicle summary Excel</t>
  </si>
  <si>
    <t>1. Click Export Excel.</t>
  </si>
  <si>
    <t>Browser downloads .xlsx report successfully.</t>
  </si>
  <si>
    <t>TC_REP_004</t>
  </si>
  <si>
    <t>Export audit log Excel</t>
  </si>
  <si>
    <t>1. Open Audit Logs or Reports export.
2. Export audit logs.</t>
  </si>
  <si>
    <t>Audit log .xlsx file is downloaded.</t>
  </si>
  <si>
    <t>TC_REP_005</t>
  </si>
  <si>
    <t>Report start date after end date</t>
  </si>
  <si>
    <t>User is on Reports page</t>
  </si>
  <si>
    <t>1. Set start date after end date.
2. Generate report.</t>
  </si>
  <si>
    <t>System shows validation error and does not generate invalid report.</t>
  </si>
  <si>
    <t>TC_REP_006</t>
  </si>
  <si>
    <t>Cashier exports restricted report</t>
  </si>
  <si>
    <t>Cashier is logged in</t>
  </si>
  <si>
    <t>1. Open restricted export endpoint/page.</t>
  </si>
  <si>
    <t>System denies access based on role.</t>
  </si>
  <si>
    <t>Manual/API</t>
  </si>
  <si>
    <t>TC_SEN_001</t>
  </si>
  <si>
    <t>Create sensor</t>
  </si>
  <si>
    <t>Owner/Admin is logged in and location exists</t>
  </si>
  <si>
    <t>1. Open Sensors.
2. Add sensor with unique code, location, threshold.
3. Save.</t>
  </si>
  <si>
    <t>Sensor is created and appears in list.</t>
  </si>
  <si>
    <t>TC_SEN_002</t>
  </si>
  <si>
    <t>Edit sensor threshold</t>
  </si>
  <si>
    <t>Sensor exists</t>
  </si>
  <si>
    <t>1. Open sensor edit modal.
2. Change threshold.
3. Save.</t>
  </si>
  <si>
    <t>Sensor data is updated and audit log is created.</t>
  </si>
  <si>
    <t>TC_SEN_003</t>
  </si>
  <si>
    <t>Set sensor inactive</t>
  </si>
  <si>
    <t>1. Edit sensor status to inactive.
2. Save.</t>
  </si>
  <si>
    <t>Sensor status changes to inactive.</t>
  </si>
  <si>
    <t>TC_SEN_004</t>
  </si>
  <si>
    <t>Create sensor with duplicate code</t>
  </si>
  <si>
    <t>Sensor code already exists</t>
  </si>
  <si>
    <t>1. Add sensor using existing code.
2. Save.</t>
  </si>
  <si>
    <t>System rejects duplicate code.</t>
  </si>
  <si>
    <t>TC_SEN_005</t>
  </si>
  <si>
    <t>Create sensor with invalid threshold</t>
  </si>
  <si>
    <t>1. Input negative or non-numeric threshold.
2. Save.</t>
  </si>
  <si>
    <t>Validation error is displayed.</t>
  </si>
  <si>
    <t>TC_SEN_006</t>
  </si>
  <si>
    <t>Cashier accesses sensor management</t>
  </si>
  <si>
    <t>1. Open Sensors page directly.</t>
  </si>
  <si>
    <t>Access is denied or redirected.</t>
  </si>
  <si>
    <t>TC_USR_001</t>
  </si>
  <si>
    <t>Owner creates admin user</t>
  </si>
  <si>
    <t>Owner is logged in</t>
  </si>
  <si>
    <t>1. Open Users.
2. Add user role admin.
3. Save.</t>
  </si>
  <si>
    <t>Admin user is created and appears in user list.</t>
  </si>
  <si>
    <t>TC_USR_002</t>
  </si>
  <si>
    <t>Owner creates cashier user</t>
  </si>
  <si>
    <t>1. Add user role cashier.
2. Save.</t>
  </si>
  <si>
    <t>Cashier user is created successfully.</t>
  </si>
  <si>
    <t>TC_USR_003</t>
  </si>
  <si>
    <t>Edit user role/status</t>
  </si>
  <si>
    <t>Owner/Admin with permission is logged in</t>
  </si>
  <si>
    <t>1. Open user edit modal.
2. Update role/status.
3. Save.</t>
  </si>
  <si>
    <t>User is updated and audit log records the change.</t>
  </si>
  <si>
    <t>TC_USR_004</t>
  </si>
  <si>
    <t>Create duplicate email user</t>
  </si>
  <si>
    <t>Email already exists</t>
  </si>
  <si>
    <t>1. Add user using existing email.
2. Save.</t>
  </si>
  <si>
    <t>System rejects duplicate email.</t>
  </si>
  <si>
    <t>TC_USR_005</t>
  </si>
  <si>
    <t>Create user with weak/blank password</t>
  </si>
  <si>
    <t>1. Leave password blank or below minimum.
2. Save.</t>
  </si>
  <si>
    <t>Validation error is shown.</t>
  </si>
  <si>
    <t>TC_USR_006</t>
  </si>
  <si>
    <t>Cashier accesses Users page</t>
  </si>
  <si>
    <t>1. Navigate to /users.</t>
  </si>
  <si>
    <t>Role guard prevents access.</t>
  </si>
  <si>
    <t>TC_USR_007</t>
  </si>
  <si>
    <t>Delete/deactivate user</t>
  </si>
  <si>
    <t>Target user exists</t>
  </si>
  <si>
    <t>1. Delete or deactivate target user.</t>
  </si>
  <si>
    <t>User is removed/deactivated and cannot login if inactive.</t>
  </si>
  <si>
    <t>TC_LOC_001</t>
  </si>
  <si>
    <t>Create parking/carwash location</t>
  </si>
  <si>
    <t>1. Open Locations.
2. Add name, address, and capacity.
3. Save.</t>
  </si>
  <si>
    <t>Location is created and appears in selector/list.</t>
  </si>
  <si>
    <t>TC_LOC_002</t>
  </si>
  <si>
    <t>Edit location capacity</t>
  </si>
  <si>
    <t>Location exists</t>
  </si>
  <si>
    <t>1. Edit location capacity.
2. Save.</t>
  </si>
  <si>
    <t>Capacity is updated and dashboard uses new value.</t>
  </si>
  <si>
    <t>TC_LOC_003</t>
  </si>
  <si>
    <t>Soft delete location</t>
  </si>
  <si>
    <t>Location exists and deletion allowed</t>
  </si>
  <si>
    <t>1. Delete location.
2. Confirm.</t>
  </si>
  <si>
    <t>Location is removed from active list without hard delete.</t>
  </si>
  <si>
    <t>TC_LOC_004</t>
  </si>
  <si>
    <t>Create location with blank name</t>
  </si>
  <si>
    <t>1. Leave name blank.
2. Save.</t>
  </si>
  <si>
    <t>TC_LOC_005</t>
  </si>
  <si>
    <t>Create location with zero capacity</t>
  </si>
  <si>
    <t>1. Enter capacity 0.
2. Save.</t>
  </si>
  <si>
    <t>System rejects invalid capacity.</t>
  </si>
  <si>
    <t>TC_LOC_006</t>
  </si>
  <si>
    <t>Cashier accesses Locations page</t>
  </si>
  <si>
    <t>1. Navigate to /locations.</t>
  </si>
  <si>
    <t>TC_AUD_001</t>
  </si>
  <si>
    <t>Login success is logged</t>
  </si>
  <si>
    <t>User logs in successfully</t>
  </si>
  <si>
    <t>1. Login with valid credential.
2. Open Audit Logs as owner/admin.</t>
  </si>
  <si>
    <t>Audit log contains successful login action.</t>
  </si>
  <si>
    <t>TC_AUD_002</t>
  </si>
  <si>
    <t>CRUD action is logged</t>
  </si>
  <si>
    <t>Owner/Admin performs create/update/delete</t>
  </si>
  <si>
    <t>1. Create or update sensor/user/location.
2. Open Audit Logs.</t>
  </si>
  <si>
    <t>Audit log contains action, actor, table/entity, and timestamp.</t>
  </si>
  <si>
    <t>TC_AUD_003</t>
  </si>
  <si>
    <t>Audit log filter works</t>
  </si>
  <si>
    <t>Audit logs exist</t>
  </si>
  <si>
    <t>1. Filter by action/date/user if available.</t>
  </si>
  <si>
    <t>Filtered results match selected criteria.</t>
  </si>
  <si>
    <t>TC_AUD_004</t>
  </si>
  <si>
    <t>Cashier accesses audit logs</t>
  </si>
  <si>
    <t>1. Navigate to /audit-logs.</t>
  </si>
  <si>
    <t>TC_IOT_001</t>
  </si>
  <si>
    <t>Vehicle detection with valid device key</t>
  </si>
  <si>
    <t>Sensor active and location matches</t>
  </si>
  <si>
    <t>1. Send POST /iot/vehicle-detection with X-DEVICE-KEY.</t>
  </si>
  <si>
    <t>API creates vehicle entry and returns success.</t>
  </si>
  <si>
    <t>TC_IOT_002</t>
  </si>
  <si>
    <t>Heartbeat with valid device key</t>
  </si>
  <si>
    <t>1. Send POST /iot/heartbeat with online status.</t>
  </si>
  <si>
    <t>API updates sensor heartbeat/status.</t>
  </si>
  <si>
    <t>TC_IOT_003</t>
  </si>
  <si>
    <t>Vehicle detection without device key</t>
  </si>
  <si>
    <t>Payload is otherwise valid</t>
  </si>
  <si>
    <t>1. Send payload without X-DEVICE-KEY.</t>
  </si>
  <si>
    <t>API returns unauthorized/forbidden response.</t>
  </si>
  <si>
    <t>TC_IOT_004</t>
  </si>
  <si>
    <t>Vehicle detection with wrong device key</t>
  </si>
  <si>
    <t>1. Send payload with invalid X-DEVICE-KEY.</t>
  </si>
  <si>
    <t>API rejects request.</t>
  </si>
  <si>
    <t>TC_IOT_005</t>
  </si>
  <si>
    <t>Missing required device_event_id</t>
  </si>
  <si>
    <t>Sensor and location valid</t>
  </si>
  <si>
    <t>1. Send payload without device_event_id.</t>
  </si>
  <si>
    <t>API returns validation error.</t>
  </si>
  <si>
    <t>TC_IOT_006</t>
  </si>
  <si>
    <t>Raw distance above threshold</t>
  </si>
  <si>
    <t>Sensor active with threshold configured</t>
  </si>
  <si>
    <t>1. Send raw_distance greater than threshold.</t>
  </si>
  <si>
    <t>API rejects or ignores detection according to threshold rule.</t>
  </si>
  <si>
    <t>TC_IOT_007</t>
  </si>
  <si>
    <t>Sensor/location mismatch</t>
  </si>
  <si>
    <t>Sensor belongs to different location</t>
  </si>
  <si>
    <t>1. Send sensor_id and location_id mismatch.</t>
  </si>
  <si>
    <t>API rejects payload.</t>
  </si>
  <si>
    <t>TC_IOT_008</t>
  </si>
  <si>
    <t>Invalid heartbeat status</t>
  </si>
  <si>
    <t>1. Send heartbeat with unsupported status.</t>
  </si>
  <si>
    <t>Test Data</t>
  </si>
  <si>
    <t>Environment</t>
  </si>
  <si>
    <t>Frontend URL</t>
  </si>
  <si>
    <t>http://127.0.0.1:5173</t>
  </si>
  <si>
    <t>Backend API URL</t>
  </si>
  <si>
    <t>http://127.0.0.1:8000/api/v1</t>
  </si>
  <si>
    <t>Owner Email</t>
  </si>
  <si>
    <t>puji@carwash.test</t>
  </si>
  <si>
    <t>Owner Password</t>
  </si>
  <si>
    <t>puji123</t>
  </si>
  <si>
    <t>Owner Role</t>
  </si>
  <si>
    <t>owner</t>
  </si>
  <si>
    <t>Admin Email</t>
  </si>
  <si>
    <t>admin@carwash.test</t>
  </si>
  <si>
    <t>Admin Password</t>
  </si>
  <si>
    <t>password123</t>
  </si>
  <si>
    <t>Cashier Email</t>
  </si>
  <si>
    <t>cashier@carwash.test</t>
  </si>
  <si>
    <t>Cashier Password</t>
  </si>
  <si>
    <t>Invalid Email</t>
  </si>
  <si>
    <t>ghost@carwash.test</t>
  </si>
  <si>
    <t>Invalid Password</t>
  </si>
  <si>
    <t>wrong12345</t>
  </si>
  <si>
    <t>Default Location</t>
  </si>
  <si>
    <t>Rizki Car Wash</t>
  </si>
  <si>
    <t>Default Sensor Code</t>
  </si>
  <si>
    <t>ENTRANCE-001</t>
  </si>
  <si>
    <t>Valid Device Key Header</t>
  </si>
  <si>
    <t>X-DEVICE-KEY: sensor_device_secret_key</t>
  </si>
  <si>
    <t>Invalid Device Key Header</t>
  </si>
  <si>
    <t>X-DEVICE-KEY: wrong_key</t>
  </si>
  <si>
    <t>Valid device_event_id</t>
  </si>
  <si>
    <t>evt-manual-001</t>
  </si>
  <si>
    <t>Duplicate device_event_id</t>
  </si>
  <si>
    <t>Valid raw_distance</t>
  </si>
  <si>
    <t>Invalid raw_distance</t>
  </si>
  <si>
    <t>Valid heartbeat status</t>
  </si>
  <si>
    <t>online</t>
  </si>
  <si>
    <t>unknown</t>
  </si>
  <si>
    <t>Report Start Date</t>
  </si>
  <si>
    <t>2026-05-01</t>
  </si>
  <si>
    <t>Report End Date</t>
  </si>
  <si>
    <t>2026-05-30</t>
  </si>
  <si>
    <t>Invalid Report Start Date</t>
  </si>
  <si>
    <t>Invalid Report End Date</t>
  </si>
  <si>
    <t>New Sensor Code</t>
  </si>
  <si>
    <t>ENTRANCE-TEST-001</t>
  </si>
  <si>
    <t>Duplicate Sensor Code</t>
  </si>
  <si>
    <t>New Location Name</t>
  </si>
  <si>
    <t>Cabang Test QA</t>
  </si>
  <si>
    <t>Invalid Location Capacity</t>
  </si>
  <si>
    <t>New User Email</t>
  </si>
  <si>
    <t>qa.cashier@carwash.test</t>
  </si>
  <si>
    <t>New User Password</t>
  </si>
  <si>
    <t>Restricted Role for Negative Test</t>
  </si>
  <si>
    <t>cashier</t>
  </si>
  <si>
    <t>ID Bug</t>
  </si>
  <si>
    <t>Bug Description</t>
  </si>
  <si>
    <t>Repro Steps</t>
  </si>
  <si>
    <t>Severity</t>
  </si>
  <si>
    <t>Priority</t>
  </si>
  <si>
    <t>ENV</t>
  </si>
  <si>
    <t>Assigned to</t>
  </si>
  <si>
    <t>Actual Result</t>
  </si>
  <si>
    <t>-</t>
  </si>
  <si>
    <t>No confirmed bug recorded before manual execution</t>
  </si>
  <si>
    <t>Run test cases first, then record confirmed defects here.</t>
  </si>
  <si>
    <t>DEV</t>
  </si>
  <si>
    <t>Pending Testing</t>
  </si>
  <si>
    <t>Test Execution Report</t>
  </si>
  <si>
    <t>System Integration Test [SIT]</t>
  </si>
  <si>
    <t>QA</t>
  </si>
  <si>
    <t>Phase/Sprint</t>
  </si>
  <si>
    <t>Capstone Functional Testing</t>
  </si>
  <si>
    <t>Test Coverage</t>
  </si>
  <si>
    <t>Timeline</t>
  </si>
  <si>
    <t>Development</t>
  </si>
  <si>
    <t>Expectation (%)</t>
  </si>
  <si>
    <t>100%</t>
  </si>
  <si>
    <t>Test Date</t>
  </si>
  <si>
    <t>Actual (%)</t>
  </si>
  <si>
    <t>Execution Status</t>
  </si>
  <si>
    <t>Total Test Case</t>
  </si>
  <si>
    <t>Executed Test Case</t>
  </si>
  <si>
    <t>Execution Rate%</t>
  </si>
  <si>
    <t>Pass Rate%</t>
  </si>
  <si>
    <t>Vehicle Entries page and physical hardware integration are deferred until hardware is ready. IoT coverage is tested through API mock requests.</t>
  </si>
  <si>
    <t>Feature need to be tested</t>
  </si>
  <si>
    <t>1. Login owner/admin/cashier
2. Logout
3. Role guard restricted pages
4. Inactive user validation</t>
  </si>
  <si>
    <t>1. Summary metric cards
2. Location selector
3. Empty state
4. Unauthorized access</t>
  </si>
  <si>
    <t>1. Sensor status list
2. Location filter
3. Valid detection update
4. Duplicate/inactive sensor rejection</t>
  </si>
  <si>
    <t>1. Summary generation
2. PDF export
3. Excel export
4. Invalid date validation
5. Role restriction</t>
  </si>
  <si>
    <t>1. Login event logging
2. CRUD event logging
3. Export/filter
4. Restricted access</t>
  </si>
  <si>
    <t>1. Vehicle detection payload
2. Heartbeat payload
3. Device key validation
4. Threshold/location/duplicate validation</t>
  </si>
  <si>
    <t>Analyze</t>
  </si>
  <si>
    <t>Validation Unclear/Missing</t>
  </si>
  <si>
    <t>Type</t>
  </si>
  <si>
    <t>Physical ESP32/ultrasonic hardware is not available yet; integration test should be executed after hardware is ready.</t>
  </si>
  <si>
    <t>Hardware Integration</t>
  </si>
  <si>
    <t>Deferred Scope</t>
  </si>
  <si>
    <t>Vehicle Entries page is intentionally postponed and should be tested together with hardware flow.</t>
  </si>
  <si>
    <t>Vehicle Entries</t>
  </si>
  <si>
    <t>1. Create sensor
2. Edit sensor
3. Inactive status
4. Duplicate code
5. Invalid threshold</t>
  </si>
  <si>
    <t>1. Create owner/admin/cashier user
2. Edit role/status
3. Duplicate email
4. Weak password
5. Delete/deactivate user</t>
  </si>
  <si>
    <t>1. Create location
2. Edit capacity
3. Soft delete
4. Invalid required fields</t>
  </si>
  <si>
    <t>Session timeout duration needs final PRD/business decision before test acceptance.</t>
  </si>
  <si>
    <t>Authentication</t>
  </si>
  <si>
    <t>Open Question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</si>
</sst>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1"/>
      <color rgb="FF173B72"/>
      <name val="Calibri"/>
    </font>
    <font>
      <b val="1"/>
      <i val="0"/>
      <strike val="0"/>
      <u val="none"/>
      <sz val="11"/>
      <color rgb="FF173B72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6CBD"/>
        <bgColor rgb="FFFFFFFF"/>
      </patternFill>
    </fill>
    <fill>
      <patternFill patternType="solid">
        <fgColor rgb="FFFFD966"/>
        <bgColor rgb="FFFFFFFF"/>
      </patternFill>
    </fill>
    <fill>
      <patternFill patternType="solid">
        <fgColor rgb="FF0F6CBD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D9EAFD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AFD"/>
        <bgColor rgb="FFFFFFFF"/>
      </patternFill>
    </fill>
    <fill>
      <patternFill patternType="solid">
        <fgColor rgb="FF203864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CC"/>
        <bgColor rgb="FF000000"/>
      </patternFill>
    </fill>
  </fills>
  <borders count="18">
    <border>
      <left/>
      <right/>
      <top/>
      <bottom/>
      <diagonal/>
    </border>
    <border>
      <left style="thin">
        <color rgb="FFB7C9E8"/>
      </left>
      <right style="thin">
        <color rgb="FFB7C9E8"/>
      </right>
      <top style="thin">
        <color rgb="FFB7C9E8"/>
      </top>
      <bottom style="thin">
        <color rgb="FFB7C9E8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5" borderId="1" applyFont="1" applyNumberFormat="0" applyFill="1" applyBorder="1" applyAlignment="1">
      <alignment vertical="top" textRotation="0" wrapText="true" shrinkToFit="false"/>
    </xf>
    <xf xfId="0" fontId="1" numFmtId="0" fillId="4" borderId="1" applyFont="1" applyNumberFormat="0" applyFill="1" applyBorder="1" applyAlignment="1">
      <alignment horizontal="center" vertical="top" textRotation="0" wrapText="true" shrinkToFit="false"/>
    </xf>
    <xf xfId="0" fontId="2" numFmtId="14" fillId="0" borderId="1" applyFont="1" applyNumberFormat="1" applyFill="0" applyBorder="1" applyAlignment="1">
      <alignment vertical="top" textRotation="0" wrapText="true" shrinkToFit="false"/>
    </xf>
    <xf xfId="0" fontId="3" numFmtId="0" fillId="6" borderId="2" applyFont="1" applyNumberFormat="0" applyFill="1" applyBorder="1" applyAlignment="1">
      <alignment horizontal="left" vertical="center" textRotation="0" wrapText="true" shrinkToFit="false"/>
    </xf>
    <xf xfId="0" fontId="3" numFmtId="0" fillId="6" borderId="3" applyFont="1" applyNumberFormat="0" applyFill="1" applyBorder="1" applyAlignment="1">
      <alignment horizontal="left" vertical="center" textRotation="0" wrapText="true" shrinkToFit="false"/>
    </xf>
    <xf xfId="0" fontId="2" numFmtId="0" fillId="7" borderId="1" applyFont="1" applyNumberFormat="0" applyFill="1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0"/>
    <xf xfId="0" fontId="4" numFmtId="0" fillId="6" borderId="2" applyFont="1" applyNumberFormat="0" applyFill="1" applyBorder="1" applyAlignment="1">
      <alignment horizontal="left" vertical="center" textRotation="0" wrapText="true" shrinkToFit="false"/>
    </xf>
    <xf xfId="0" fontId="4" numFmtId="0" fillId="6" borderId="4" applyFont="1" applyNumberFormat="0" applyFill="1" applyBorder="1" applyAlignment="1">
      <alignment horizontal="left" vertical="center" textRotation="0" wrapText="true" shrinkToFit="false"/>
    </xf>
    <xf xfId="0" fontId="4" numFmtId="0" fillId="6" borderId="5" applyFont="1" applyNumberFormat="0" applyFill="1" applyBorder="1" applyAlignment="1">
      <alignment horizontal="left" vertical="center" textRotation="0" wrapText="true" shrinkToFit="false"/>
    </xf>
    <xf xfId="0" fontId="4" numFmtId="0" fillId="6" borderId="6" applyFont="1" applyNumberFormat="0" applyFill="1" applyBorder="1" applyAlignment="1">
      <alignment horizontal="left" vertical="center" textRotation="0" wrapText="true" shrinkToFit="false"/>
    </xf>
    <xf xfId="0" fontId="5" numFmtId="0" fillId="0" borderId="7" applyFont="1" applyNumberFormat="0" applyFill="0" applyBorder="1" applyAlignment="1">
      <alignment vertical="top" textRotation="0" wrapText="true" shrinkToFit="false"/>
    </xf>
    <xf xfId="0" fontId="4" numFmtId="0" fillId="6" borderId="3" applyFont="1" applyNumberFormat="0" applyFill="1" applyBorder="1" applyAlignment="1">
      <alignment horizontal="left" vertical="center" textRotation="0" wrapText="true" shrinkToFit="false"/>
    </xf>
    <xf xfId="0" fontId="4" numFmtId="0" fillId="6" borderId="8" applyFont="1" applyNumberFormat="0" applyFill="1" applyBorder="1" applyAlignment="1">
      <alignment horizontal="left" vertical="center" textRotation="0" wrapText="true" shrinkToFit="false"/>
    </xf>
    <xf xfId="0" fontId="4" numFmtId="0" fillId="6" borderId="9" applyFont="1" applyNumberFormat="0" applyFill="1" applyBorder="1" applyAlignment="1">
      <alignment horizontal="left" vertical="center" textRotation="0" wrapText="true" shrinkToFit="false"/>
    </xf>
    <xf xfId="0" fontId="5" numFmtId="0" fillId="0" borderId="10" applyFont="1" applyNumberFormat="0" applyFill="0" applyBorder="1" applyAlignment="1">
      <alignment vertical="top" textRotation="0" wrapText="true" shrinkToFit="false"/>
    </xf>
    <xf xfId="0" fontId="4" numFmtId="0" fillId="6" borderId="11" applyFont="1" applyNumberFormat="0" applyFill="1" applyBorder="1" applyAlignment="1">
      <alignment horizontal="left" vertical="center" textRotation="0" wrapText="true" shrinkToFit="false"/>
    </xf>
    <xf xfId="0" fontId="4" numFmtId="0" fillId="6" borderId="12" applyFont="1" applyNumberFormat="0" applyFill="1" applyBorder="1" applyAlignment="1">
      <alignment horizontal="left" vertical="center" textRotation="0" wrapText="true" shrinkToFit="false"/>
    </xf>
    <xf xfId="0" fontId="4" numFmtId="0" fillId="6" borderId="13" applyFont="1" applyNumberFormat="0" applyFill="1" applyBorder="1" applyAlignment="1">
      <alignment horizontal="left" vertical="center" textRotation="0" wrapText="true" shrinkToFit="false"/>
    </xf>
    <xf xfId="0" fontId="4" numFmtId="0" fillId="6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14" applyFont="1" applyNumberFormat="0" applyFill="0" applyBorder="1" applyAlignment="1">
      <alignment horizontal="center" vertical="top" textRotation="0" wrapText="true" shrinkToFit="false"/>
    </xf>
    <xf xfId="0" fontId="4" numFmtId="0" fillId="6" borderId="14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vertical="top" textRotation="0" wrapText="true" shrinkToFit="false"/>
    </xf>
    <xf xfId="0" fontId="4" numFmtId="0" fillId="6" borderId="6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left" vertical="top" textRotation="0" wrapText="true" shrinkToFit="false"/>
    </xf>
    <xf xfId="0" fontId="4" numFmtId="0" fillId="6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15" applyFont="1" applyNumberFormat="0" applyFill="0" applyBorder="1" applyAlignment="1">
      <alignment horizontal="center" vertical="top" textRotation="0" wrapText="true" shrinkToFit="false"/>
    </xf>
    <xf xfId="0" fontId="5" numFmtId="0" fillId="0" borderId="8" applyFont="1" applyNumberFormat="0" applyFill="0" applyBorder="1" applyAlignment="1">
      <alignment horizontal="center" vertical="top" textRotation="0" wrapText="true" shrinkToFit="false"/>
    </xf>
    <xf xfId="0" fontId="2" numFmtId="17" fillId="0" borderId="0" applyFont="1" applyNumberFormat="1" applyFill="0" applyBorder="0" applyAlignment="1">
      <alignment vertical="bottom" textRotation="0" wrapText="true" shrinkToFit="false"/>
    </xf>
    <xf xfId="0" fontId="5" numFmtId="0" fillId="0" borderId="1" applyFont="1" applyNumberFormat="0" applyFill="0" applyBorder="1" applyAlignment="1">
      <alignment vertical="top" textRotation="0" wrapText="true" shrinkToFit="false"/>
    </xf>
    <xf xfId="0" fontId="2" numFmtId="17" fillId="0" borderId="1" applyFont="1" applyNumberFormat="1" applyFill="0" applyBorder="1" applyAlignment="1">
      <alignment horizontal="left" vertical="top" textRotation="0" wrapText="true" shrinkToFit="false"/>
    </xf>
    <xf xfId="0" fontId="6" numFmtId="0" fillId="0" borderId="1" applyFont="1" applyNumberFormat="0" applyFill="0" applyBorder="1" applyAlignment="1">
      <alignment vertical="top" textRotation="0" wrapText="true" shrinkToFit="false"/>
    </xf>
    <xf xfId="0" fontId="2" numFmtId="14" fillId="0" borderId="1" applyFont="1" applyNumberFormat="1" applyFill="0" applyBorder="1" applyAlignment="1">
      <alignment horizontal="left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top" textRotation="0" wrapText="true" shrinkToFit="false"/>
    </xf>
    <xf xfId="0" fontId="4" numFmtId="0" fillId="8" borderId="6" applyFont="1" applyNumberFormat="0" applyFill="1" applyBorder="1" applyAlignment="1">
      <alignment vertical="center" textRotation="0" wrapText="true" shrinkToFit="false"/>
    </xf>
    <xf xfId="0" fontId="7" numFmtId="0" fillId="9" borderId="6" applyFont="1" applyNumberFormat="0" applyFill="1" applyBorder="1" applyAlignment="0"/>
    <xf xfId="0" fontId="2" numFmtId="14" fillId="0" borderId="6" applyFont="1" applyNumberFormat="1" applyFill="0" applyBorder="1" applyAlignment="0"/>
    <xf xfId="0" fontId="7" numFmtId="0" fillId="10" borderId="6" applyFont="1" applyNumberFormat="0" applyFill="1" applyBorder="1" applyAlignment="0"/>
    <xf xfId="0" fontId="2" numFmtId="0" fillId="0" borderId="6" applyFont="1" applyNumberFormat="0" applyFill="0" applyBorder="1" applyAlignment="0"/>
    <xf xfId="0" fontId="2" numFmtId="0" fillId="11" borderId="16" applyFont="1" applyNumberFormat="0" applyFill="1" applyBorder="1" applyAlignment="1">
      <alignment horizontal="center" vertical="top" textRotation="0" wrapText="true" shrinkToFit="false"/>
    </xf>
    <xf xfId="0" fontId="7" numFmtId="0" fillId="0" borderId="0" applyFont="1" applyNumberFormat="0" applyFill="0" applyBorder="0" applyAlignment="0"/>
    <xf xfId="0" fontId="2" numFmtId="14" fillId="0" borderId="0" applyFont="1" applyNumberFormat="1" applyFill="0" applyBorder="0" applyAlignment="0"/>
    <xf xfId="0" fontId="4" numFmtId="0" fillId="6" borderId="6" applyFont="1" applyNumberFormat="0" applyFill="1" applyBorder="1" applyAlignment="1">
      <alignment vertical="center" textRotation="0" wrapText="true" shrinkToFit="false"/>
    </xf>
    <xf xfId="0" fontId="4" numFmtId="14" fillId="6" borderId="6" applyFont="1" applyNumberFormat="1" applyFill="1" applyBorder="1" applyAlignment="1">
      <alignment horizontal="left" vertical="center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4" numFmtId="0" fillId="6" borderId="0" applyFont="1" applyNumberFormat="0" applyFill="1" applyBorder="0" applyAlignment="1">
      <alignment vertical="center" textRotation="0" wrapText="true" shrinkToFit="false"/>
    </xf>
    <xf xfId="0" fontId="4" numFmtId="0" fillId="8" borderId="15" applyFont="1" applyNumberFormat="0" applyFill="1" applyBorder="1" applyAlignment="1">
      <alignment vertical="center" textRotation="0" wrapText="true" shrinkToFit="false"/>
    </xf>
    <xf xfId="0" fontId="4" numFmtId="9" fillId="6" borderId="17" applyFont="1" applyNumberFormat="1" applyFill="1" applyBorder="1" applyAlignment="1">
      <alignment vertical="center" textRotation="0" wrapText="true" shrinkToFit="false"/>
    </xf>
    <xf xfId="0" fontId="4" numFmtId="10" fillId="6" borderId="6" applyFont="1" applyNumberFormat="1" applyFill="1" applyBorder="1" applyAlignment="1">
      <alignment vertical="center" textRotation="0" wrapText="true" shrinkToFit="false"/>
    </xf>
    <xf xfId="0" fontId="4" numFmtId="10" fillId="6" borderId="0" applyFont="1" applyNumberFormat="1" applyFill="1" applyBorder="0" applyAlignment="1">
      <alignment vertical="center" textRotation="0" wrapText="true" shrinkToFit="false"/>
    </xf>
    <xf xfId="0" fontId="2" numFmtId="10" fillId="0" borderId="0" applyFont="1" applyNumberFormat="1" applyFill="0" applyBorder="0" applyAlignment="0"/>
    <xf xfId="0" fontId="1" numFmtId="10" fillId="2" borderId="1" applyFont="1" applyNumberFormat="1" applyFill="1" applyBorder="1" applyAlignment="1">
      <alignment horizontal="center" vertical="top" textRotation="0" wrapText="true" shrinkToFit="false"/>
    </xf>
    <xf xfId="0" fontId="2" numFmtId="10" fillId="0" borderId="1" applyFont="1" applyNumberFormat="1" applyFill="0" applyBorder="1" applyAlignment="1">
      <alignment vertical="top" textRotation="0" wrapText="true" shrinkToFit="false"/>
    </xf>
    <xf xfId="0" fontId="2" numFmtId="9" fillId="0" borderId="6" applyFont="1" applyNumberFormat="1" applyFill="0" applyBorder="1" applyAlignment="0"/>
    <xf xfId="0" fontId="2" numFmtId="9" fillId="0" borderId="0" applyFont="1" applyNumberFormat="1" applyFill="0" applyBorder="0" applyAlignment="0"/>
    <xf xfId="0" fontId="2" quotePrefix="1" numFmtId="9" fillId="0" borderId="0" applyFont="1" applyNumberFormat="1" applyFill="0" applyBorder="0" applyAlignment="0"/>
    <xf xfId="0" fontId="2" numFmtId="10" fillId="0" borderId="6" applyFont="1" applyNumberFormat="1" applyFill="0" applyBorder="1" applyAlignment="0"/>
    <xf xfId="0" fontId="5" numFmtId="0" fillId="0" borderId="0" applyFont="1" applyNumberFormat="0" applyFill="0" applyBorder="0" applyAlignment="0"/>
    <xf xfId="0" fontId="5" numFmtId="14" fillId="0" borderId="0" applyFont="1" applyNumberFormat="1" applyFill="0" applyBorder="0" applyAlignment="0"/>
    <xf xfId="0" fontId="4" numFmtId="0" fillId="6" borderId="1" applyFont="1" applyNumberFormat="0" applyFill="1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2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3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4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5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6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7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8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9" Type="http://schemas.openxmlformats.org/officeDocument/2006/relationships/hyperlink" Target="https://dev.azure.com/Styabudi/Local%20Internship/_sprints/taskboard/Local%20Internship%20Team/Local%20Internship/Sprint%201%20Exercise%20BA" TargetMode="External"/><Relationship Id="rId_hyperlink_10" Type="http://schemas.openxmlformats.org/officeDocument/2006/relationships/hyperlink" Target="https://dev.azure.com/Styabudi/Local%20Internship/_sprints/taskboard/Local%20Internship%20Team/Local%20Internship/Sprint%201%20Exercise%20BA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kurr@company.com" TargetMode="External"/><Relationship Id="rId_hyperlink_2" Type="http://schemas.openxmlformats.org/officeDocument/2006/relationships/hyperlink" Target="mailto:akbaree@company.com" TargetMode="External"/><Relationship Id="rId_hyperlink_3" Type="http://schemas.openxmlformats.org/officeDocument/2006/relationships/hyperlink" Target="mailto:nugiramadhan@company.com" TargetMode="External"/><Relationship Id="rId_hyperlink_4" Type="http://schemas.openxmlformats.org/officeDocument/2006/relationships/hyperlink" Target="mailto:nugahaha@gmail.com" TargetMode="Externa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</sheetPr>
  <dimension ref="A1:I30"/>
  <sheetViews>
    <sheetView tabSelected="0" workbookViewId="0" zoomScale="90" showGridLines="true" showRowColHeaders="1">
      <selection activeCell="A1" sqref="A1:I30"/>
    </sheetView>
  </sheetViews>
  <sheetFormatPr defaultRowHeight="14.4" outlineLevelRow="0" outlineLevelCol="0"/>
  <cols>
    <col min="1" max="1" width="31" customWidth="true" style="1"/>
    <col min="2" max="2" width="55.33203125" customWidth="true" style="1"/>
    <col min="3" max="3" width="8.88671875" customWidth="true" style="1"/>
    <col min="4" max="4" width="4.88671875" customWidth="true" style="1"/>
    <col min="5" max="5" width="20.21875" customWidth="true" style="1"/>
    <col min="6" max="6" width="13.88671875" customWidth="true" style="1"/>
    <col min="7" max="7" width="29.109375" customWidth="true" style="1"/>
    <col min="8" max="8" width="37.44140625" customWidth="true" style="1"/>
    <col min="9" max="9" width="8.88671875" customWidth="true" style="1"/>
  </cols>
  <sheetData>
    <row r="1" spans="1:9">
      <c r="A1" s="2" t="s">
        <v>0</v>
      </c>
      <c r="B1" s="6" t="s">
        <v>1</v>
      </c>
      <c r="C1" s="6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6"/>
    </row>
    <row r="2" spans="1:9" customHeight="1" ht="28.8">
      <c r="A2" s="3" t="s">
        <v>7</v>
      </c>
      <c r="B2" s="7" t="s">
        <v>8</v>
      </c>
      <c r="C2" s="4"/>
      <c r="D2" s="8">
        <v>1</v>
      </c>
      <c r="E2" s="9" t="s">
        <v>9</v>
      </c>
      <c r="F2" s="8">
        <v>8</v>
      </c>
      <c r="G2" s="4" t="s">
        <v>10</v>
      </c>
      <c r="H2" s="4" t="s">
        <v>11</v>
      </c>
      <c r="I2" s="4"/>
    </row>
    <row r="3" spans="1:9" customHeight="1" ht="28.8">
      <c r="A3" s="3" t="s">
        <v>12</v>
      </c>
      <c r="B3" s="4" t="s">
        <v>13</v>
      </c>
      <c r="C3" s="4"/>
      <c r="D3" s="8">
        <v>2</v>
      </c>
      <c r="E3" s="9" t="s">
        <v>14</v>
      </c>
      <c r="F3" s="8">
        <v>5</v>
      </c>
      <c r="G3" s="4" t="s">
        <v>15</v>
      </c>
      <c r="H3" s="4" t="s">
        <v>16</v>
      </c>
      <c r="I3" s="4"/>
    </row>
    <row r="4" spans="1:9" customHeight="1" ht="28.8">
      <c r="A4" s="4"/>
      <c r="B4" s="4"/>
      <c r="C4" s="4"/>
      <c r="D4" s="8">
        <v>3</v>
      </c>
      <c r="E4" s="9" t="s">
        <v>17</v>
      </c>
      <c r="F4" s="8">
        <v>5</v>
      </c>
      <c r="G4" s="4" t="s">
        <v>18</v>
      </c>
      <c r="H4" s="4" t="s">
        <v>19</v>
      </c>
      <c r="I4" s="4"/>
    </row>
    <row r="5" spans="1:9" customHeight="1" ht="28.8">
      <c r="A5" s="4"/>
      <c r="B5" s="4"/>
      <c r="C5" s="4"/>
      <c r="D5" s="8">
        <v>4</v>
      </c>
      <c r="E5" s="9" t="s">
        <v>20</v>
      </c>
      <c r="F5" s="8">
        <v>6</v>
      </c>
      <c r="G5" s="4" t="s">
        <v>21</v>
      </c>
      <c r="H5" s="4" t="s">
        <v>22</v>
      </c>
      <c r="I5" s="4"/>
    </row>
    <row r="6" spans="1:9">
      <c r="A6" s="4"/>
      <c r="B6" s="4"/>
      <c r="C6" s="4"/>
      <c r="D6" s="4">
        <v>5</v>
      </c>
      <c r="E6" s="4" t="s">
        <v>23</v>
      </c>
      <c r="F6" s="4">
        <v>6</v>
      </c>
      <c r="G6" s="4" t="s">
        <v>24</v>
      </c>
      <c r="H6" s="4" t="s">
        <v>25</v>
      </c>
      <c r="I6" s="4"/>
    </row>
    <row r="7" spans="1:9">
      <c r="A7" s="4"/>
      <c r="B7" s="4"/>
      <c r="C7" s="4"/>
      <c r="D7" s="4">
        <v>6</v>
      </c>
      <c r="E7" s="4" t="s">
        <v>26</v>
      </c>
      <c r="F7" s="4">
        <v>7</v>
      </c>
      <c r="G7" s="4" t="s">
        <v>27</v>
      </c>
      <c r="H7" s="4" t="s">
        <v>28</v>
      </c>
      <c r="I7" s="4"/>
    </row>
    <row r="8" spans="1:9">
      <c r="A8" s="4"/>
      <c r="B8" s="4"/>
      <c r="C8" s="4"/>
      <c r="D8" s="4">
        <v>7</v>
      </c>
      <c r="E8" s="4" t="s">
        <v>29</v>
      </c>
      <c r="F8" s="4">
        <v>6</v>
      </c>
      <c r="G8" s="4" t="s">
        <v>30</v>
      </c>
      <c r="H8" s="4" t="s">
        <v>31</v>
      </c>
      <c r="I8" s="4"/>
    </row>
    <row r="9" spans="1:9">
      <c r="A9" s="4"/>
      <c r="B9" s="4"/>
      <c r="C9" s="4"/>
      <c r="D9" s="4">
        <v>8</v>
      </c>
      <c r="E9" s="4" t="s">
        <v>32</v>
      </c>
      <c r="F9" s="4">
        <v>4</v>
      </c>
      <c r="G9" s="4" t="s">
        <v>33</v>
      </c>
      <c r="H9" s="4" t="s">
        <v>34</v>
      </c>
      <c r="I9" s="4"/>
    </row>
    <row r="10" spans="1:9">
      <c r="A10" s="4"/>
      <c r="B10" s="4"/>
      <c r="C10" s="4"/>
      <c r="D10" s="4">
        <v>9</v>
      </c>
      <c r="E10" s="4" t="s">
        <v>35</v>
      </c>
      <c r="F10" s="4">
        <v>8</v>
      </c>
      <c r="G10" s="4" t="s">
        <v>36</v>
      </c>
      <c r="H10" s="4" t="s">
        <v>37</v>
      </c>
      <c r="I10" s="4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</sheetPr>
  <dimension ref="A1:N140"/>
  <sheetViews>
    <sheetView tabSelected="0" workbookViewId="0" zoomScale="90" zoomScaleNormal="85" showGridLines="true" showRowColHeaders="1">
      <pane ySplit="7" topLeftCell="A8" activePane="bottomLeft" state="frozen"/>
      <selection pane="bottomLeft" activeCell="A1" sqref="A1:N140"/>
    </sheetView>
  </sheetViews>
  <sheetFormatPr defaultRowHeight="14.4" outlineLevelRow="0" outlineLevelCol="0"/>
  <cols>
    <col min="1" max="1" width="18" customWidth="true" style="1"/>
    <col min="2" max="2" width="14" customWidth="true" style="1"/>
    <col min="3" max="3" width="22" customWidth="true" style="1"/>
    <col min="4" max="4" width="16" customWidth="true" style="1"/>
    <col min="5" max="5" width="14" customWidth="true" style="1"/>
    <col min="6" max="6" width="32" customWidth="true" style="1"/>
    <col min="7" max="7" width="28" customWidth="true" style="1"/>
    <col min="8" max="8" width="42" customWidth="true" style="1"/>
    <col min="9" max="9" width="42" customWidth="true" style="1"/>
    <col min="10" max="10" width="12" customWidth="true" style="1"/>
    <col min="11" max="11" width="11" customWidth="true" style="1"/>
    <col min="12" max="12" width="15" customWidth="true" style="1"/>
    <col min="13" max="13" width="24" customWidth="true" style="1"/>
    <col min="14" max="14" width="8.88671875" customWidth="true" style="1"/>
  </cols>
  <sheetData>
    <row r="1" spans="1:14">
      <c r="A1" s="16" t="s">
        <v>38</v>
      </c>
      <c r="B1" s="21"/>
      <c r="C1" s="25"/>
      <c r="D1" s="12" t="s">
        <v>8</v>
      </c>
      <c r="E1" s="13"/>
      <c r="F1" s="13"/>
      <c r="G1" s="13"/>
      <c r="H1" s="13"/>
      <c r="I1" s="13"/>
      <c r="J1" s="13"/>
      <c r="K1" s="13"/>
      <c r="L1" s="13"/>
      <c r="M1" s="13"/>
      <c r="N1" s="5"/>
    </row>
    <row r="2" spans="1:14">
      <c r="A2" s="17" t="s">
        <v>39</v>
      </c>
      <c r="B2" s="22"/>
      <c r="C2" s="26"/>
      <c r="D2" s="17" t="s">
        <v>40</v>
      </c>
      <c r="E2" s="22"/>
      <c r="F2" s="22"/>
      <c r="G2" s="22"/>
      <c r="H2" s="22"/>
      <c r="I2" s="22"/>
      <c r="J2" s="22"/>
      <c r="K2" s="22"/>
      <c r="L2" s="22"/>
      <c r="M2" s="22"/>
      <c r="N2" s="5"/>
    </row>
    <row r="3" spans="1:14">
      <c r="A3" s="18" t="s">
        <v>41</v>
      </c>
      <c r="B3" s="23"/>
      <c r="C3" s="27"/>
      <c r="D3" s="17" t="s">
        <v>42</v>
      </c>
      <c r="E3" s="22"/>
      <c r="F3" s="22"/>
      <c r="G3" s="22"/>
      <c r="H3" s="22"/>
      <c r="I3" s="22"/>
      <c r="J3" s="22"/>
      <c r="K3" s="22"/>
      <c r="L3" s="22"/>
      <c r="M3" s="22"/>
      <c r="N3" s="5"/>
    </row>
    <row r="4" spans="1:14">
      <c r="A4" s="19" t="s">
        <v>43</v>
      </c>
      <c r="B4" s="19"/>
      <c r="C4" s="19"/>
      <c r="D4" s="28" t="s">
        <v>44</v>
      </c>
      <c r="E4" s="30"/>
      <c r="F4" s="30" t="s">
        <v>45</v>
      </c>
      <c r="G4" s="32" t="s">
        <v>46</v>
      </c>
      <c r="H4" s="32" t="s">
        <v>47</v>
      </c>
      <c r="I4" s="34" t="s">
        <v>48</v>
      </c>
      <c r="J4" s="34" t="s">
        <v>49</v>
      </c>
      <c r="K4" s="28"/>
      <c r="L4" s="28"/>
      <c r="M4" s="28"/>
      <c r="N4" s="5"/>
    </row>
    <row r="5" spans="1:14">
      <c r="A5" s="19"/>
      <c r="B5" s="19"/>
      <c r="C5" s="19"/>
      <c r="D5" s="28">
        <f>COUNTIF(J8:J62,"Passed")</f>
        <v>0</v>
      </c>
      <c r="E5" s="30"/>
      <c r="F5" s="30">
        <f>COUNTIF(J8:J62,"Fail")</f>
        <v>0</v>
      </c>
      <c r="G5" s="30">
        <f>COUNTIF(J8:J62,"Pending")</f>
        <v>55</v>
      </c>
      <c r="H5" s="32">
        <f>COUNTIF(J8:J62,"Blocked")</f>
        <v>0</v>
      </c>
      <c r="I5" s="32">
        <f>COUNTIF(J8:J62,"Invalid")</f>
        <v>0</v>
      </c>
      <c r="J5" s="34">
        <f>COUNTA(D8:D62)</f>
        <v>55</v>
      </c>
      <c r="K5" s="28"/>
      <c r="L5" s="28"/>
      <c r="M5" s="28"/>
      <c r="N5" s="5"/>
    </row>
    <row r="6" spans="1:14">
      <c r="A6" s="20"/>
      <c r="B6" s="24"/>
      <c r="C6" s="24"/>
      <c r="D6" s="29"/>
      <c r="E6" s="29"/>
      <c r="F6" s="31"/>
      <c r="G6" s="31"/>
      <c r="H6" s="33"/>
      <c r="I6" s="35"/>
      <c r="J6" s="36"/>
      <c r="K6" s="36"/>
      <c r="L6" s="36"/>
      <c r="M6" s="36"/>
      <c r="N6" s="5"/>
    </row>
    <row r="7" spans="1:14" customHeight="1" ht="27.6">
      <c r="A7" s="10" t="s">
        <v>50</v>
      </c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59</v>
      </c>
      <c r="K7" s="10" t="s">
        <v>41</v>
      </c>
      <c r="L7" s="10" t="s">
        <v>60</v>
      </c>
      <c r="M7" s="10" t="s">
        <v>61</v>
      </c>
      <c r="N7" s="15"/>
    </row>
    <row r="8" spans="1:14" customHeight="1" ht="64">
      <c r="A8" s="4" t="s">
        <v>9</v>
      </c>
      <c r="B8" s="11" t="s">
        <v>62</v>
      </c>
      <c r="C8" s="4" t="s">
        <v>10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46</v>
      </c>
      <c r="K8" s="4" t="s">
        <v>42</v>
      </c>
      <c r="L8" s="4" t="s">
        <v>69</v>
      </c>
      <c r="M8" s="4"/>
      <c r="N8" s="15"/>
    </row>
    <row r="9" spans="1:14" customHeight="1" ht="64">
      <c r="A9" s="4" t="s">
        <v>9</v>
      </c>
      <c r="B9" s="11" t="s">
        <v>62</v>
      </c>
      <c r="C9" s="4" t="s">
        <v>10</v>
      </c>
      <c r="D9" s="4" t="s">
        <v>70</v>
      </c>
      <c r="E9" s="4" t="s">
        <v>64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46</v>
      </c>
      <c r="K9" s="4" t="s">
        <v>42</v>
      </c>
      <c r="L9" s="4" t="s">
        <v>69</v>
      </c>
      <c r="M9" s="4"/>
      <c r="N9" s="15"/>
    </row>
    <row r="10" spans="1:14" customHeight="1" ht="64">
      <c r="A10" s="4" t="s">
        <v>9</v>
      </c>
      <c r="B10" s="11" t="s">
        <v>62</v>
      </c>
      <c r="C10" s="4" t="s">
        <v>10</v>
      </c>
      <c r="D10" s="4" t="s">
        <v>75</v>
      </c>
      <c r="E10" s="4" t="s">
        <v>64</v>
      </c>
      <c r="F10" s="4" t="s">
        <v>76</v>
      </c>
      <c r="G10" s="4" t="s">
        <v>77</v>
      </c>
      <c r="H10" s="4" t="s">
        <v>78</v>
      </c>
      <c r="I10" s="4" t="s">
        <v>79</v>
      </c>
      <c r="J10" s="4" t="s">
        <v>46</v>
      </c>
      <c r="K10" s="4" t="s">
        <v>42</v>
      </c>
      <c r="L10" s="4" t="s">
        <v>69</v>
      </c>
      <c r="M10" s="4"/>
      <c r="N10" s="15"/>
    </row>
    <row r="11" spans="1:14" customHeight="1" ht="64">
      <c r="A11" s="4" t="s">
        <v>9</v>
      </c>
      <c r="B11" s="11" t="s">
        <v>62</v>
      </c>
      <c r="C11" s="4" t="s">
        <v>10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46</v>
      </c>
      <c r="K11" s="4" t="s">
        <v>42</v>
      </c>
      <c r="L11" s="4" t="s">
        <v>69</v>
      </c>
      <c r="M11" s="4"/>
      <c r="N11" s="15"/>
    </row>
    <row r="12" spans="1:14" customHeight="1" ht="64">
      <c r="A12" s="4" t="s">
        <v>9</v>
      </c>
      <c r="B12" s="11" t="s">
        <v>62</v>
      </c>
      <c r="C12" s="4" t="s">
        <v>10</v>
      </c>
      <c r="D12" s="4" t="s">
        <v>86</v>
      </c>
      <c r="E12" s="4" t="s">
        <v>81</v>
      </c>
      <c r="F12" s="4" t="s">
        <v>87</v>
      </c>
      <c r="G12" s="4" t="s">
        <v>83</v>
      </c>
      <c r="H12" s="4" t="s">
        <v>88</v>
      </c>
      <c r="I12" s="4" t="s">
        <v>89</v>
      </c>
      <c r="J12" s="4" t="s">
        <v>46</v>
      </c>
      <c r="K12" s="4" t="s">
        <v>42</v>
      </c>
      <c r="L12" s="4" t="s">
        <v>69</v>
      </c>
      <c r="M12" s="4"/>
      <c r="N12" s="15"/>
    </row>
    <row r="13" spans="1:14" customHeight="1" ht="64">
      <c r="A13" s="4" t="s">
        <v>9</v>
      </c>
      <c r="B13" s="11" t="s">
        <v>62</v>
      </c>
      <c r="C13" s="4" t="s">
        <v>10</v>
      </c>
      <c r="D13" s="4" t="s">
        <v>90</v>
      </c>
      <c r="E13" s="4" t="s">
        <v>81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46</v>
      </c>
      <c r="K13" s="4" t="s">
        <v>42</v>
      </c>
      <c r="L13" s="4" t="s">
        <v>69</v>
      </c>
      <c r="M13" s="4"/>
      <c r="N13" s="15"/>
    </row>
    <row r="14" spans="1:14" customHeight="1" ht="64">
      <c r="A14" s="4" t="s">
        <v>9</v>
      </c>
      <c r="B14" s="11" t="s">
        <v>62</v>
      </c>
      <c r="C14" s="4" t="s">
        <v>10</v>
      </c>
      <c r="D14" s="4" t="s">
        <v>95</v>
      </c>
      <c r="E14" s="4" t="s">
        <v>64</v>
      </c>
      <c r="F14" s="4" t="s">
        <v>96</v>
      </c>
      <c r="G14" s="4" t="s">
        <v>97</v>
      </c>
      <c r="H14" s="4" t="s">
        <v>98</v>
      </c>
      <c r="I14" s="4" t="s">
        <v>99</v>
      </c>
      <c r="J14" s="4" t="s">
        <v>46</v>
      </c>
      <c r="K14" s="4" t="s">
        <v>42</v>
      </c>
      <c r="L14" s="4" t="s">
        <v>69</v>
      </c>
      <c r="M14" s="4"/>
      <c r="N14" s="15"/>
    </row>
    <row r="15" spans="1:14" customHeight="1" ht="64">
      <c r="A15" s="4" t="s">
        <v>9</v>
      </c>
      <c r="B15" s="11" t="s">
        <v>62</v>
      </c>
      <c r="C15" s="4" t="s">
        <v>10</v>
      </c>
      <c r="D15" s="4" t="s">
        <v>100</v>
      </c>
      <c r="E15" s="4" t="s">
        <v>81</v>
      </c>
      <c r="F15" s="4" t="s">
        <v>101</v>
      </c>
      <c r="G15" s="4" t="s">
        <v>102</v>
      </c>
      <c r="H15" s="4" t="s">
        <v>103</v>
      </c>
      <c r="I15" s="4" t="s">
        <v>104</v>
      </c>
      <c r="J15" s="4" t="s">
        <v>46</v>
      </c>
      <c r="K15" s="4" t="s">
        <v>42</v>
      </c>
      <c r="L15" s="4" t="s">
        <v>69</v>
      </c>
      <c r="M15" s="4"/>
      <c r="N15" s="15"/>
    </row>
    <row r="16" spans="1:14" customHeight="1" ht="64">
      <c r="A16" s="4" t="s">
        <v>14</v>
      </c>
      <c r="B16" s="11" t="s">
        <v>62</v>
      </c>
      <c r="C16" s="4" t="s">
        <v>15</v>
      </c>
      <c r="D16" s="4" t="s">
        <v>105</v>
      </c>
      <c r="E16" s="4" t="s">
        <v>64</v>
      </c>
      <c r="F16" s="4" t="s">
        <v>106</v>
      </c>
      <c r="G16" s="4" t="s">
        <v>107</v>
      </c>
      <c r="H16" s="4" t="s">
        <v>108</v>
      </c>
      <c r="I16" s="4" t="s">
        <v>109</v>
      </c>
      <c r="J16" s="4" t="s">
        <v>46</v>
      </c>
      <c r="K16" s="4" t="s">
        <v>42</v>
      </c>
      <c r="L16" s="4" t="s">
        <v>69</v>
      </c>
      <c r="M16" s="4"/>
      <c r="N16" s="15"/>
    </row>
    <row r="17" spans="1:14" customHeight="1" ht="64">
      <c r="A17" s="4" t="s">
        <v>14</v>
      </c>
      <c r="B17" s="11" t="s">
        <v>62</v>
      </c>
      <c r="C17" s="4" t="s">
        <v>15</v>
      </c>
      <c r="D17" s="4" t="s">
        <v>110</v>
      </c>
      <c r="E17" s="4" t="s">
        <v>64</v>
      </c>
      <c r="F17" s="4" t="s">
        <v>111</v>
      </c>
      <c r="G17" s="4" t="s">
        <v>112</v>
      </c>
      <c r="H17" s="4" t="s">
        <v>113</v>
      </c>
      <c r="I17" s="4" t="s">
        <v>114</v>
      </c>
      <c r="J17" s="4" t="s">
        <v>46</v>
      </c>
      <c r="K17" s="4" t="s">
        <v>42</v>
      </c>
      <c r="L17" s="4" t="s">
        <v>69</v>
      </c>
      <c r="M17" s="4"/>
      <c r="N17" s="15"/>
    </row>
    <row r="18" spans="1:14" customHeight="1" ht="64">
      <c r="A18" s="4" t="s">
        <v>14</v>
      </c>
      <c r="B18" s="11" t="s">
        <v>62</v>
      </c>
      <c r="C18" s="4" t="s">
        <v>15</v>
      </c>
      <c r="D18" s="4" t="s">
        <v>115</v>
      </c>
      <c r="E18" s="4" t="s">
        <v>64</v>
      </c>
      <c r="F18" s="4" t="s">
        <v>116</v>
      </c>
      <c r="G18" s="4" t="s">
        <v>117</v>
      </c>
      <c r="H18" s="4" t="s">
        <v>118</v>
      </c>
      <c r="I18" s="4" t="s">
        <v>119</v>
      </c>
      <c r="J18" s="4" t="s">
        <v>46</v>
      </c>
      <c r="K18" s="4" t="s">
        <v>42</v>
      </c>
      <c r="L18" s="4" t="s">
        <v>69</v>
      </c>
      <c r="M18" s="4"/>
      <c r="N18" s="15"/>
    </row>
    <row r="19" spans="1:14" customHeight="1" ht="64">
      <c r="A19" s="4" t="s">
        <v>14</v>
      </c>
      <c r="B19" s="11" t="s">
        <v>62</v>
      </c>
      <c r="C19" s="4" t="s">
        <v>15</v>
      </c>
      <c r="D19" s="4" t="s">
        <v>120</v>
      </c>
      <c r="E19" s="4" t="s">
        <v>81</v>
      </c>
      <c r="F19" s="4" t="s">
        <v>121</v>
      </c>
      <c r="G19" s="4" t="s">
        <v>122</v>
      </c>
      <c r="H19" s="4" t="s">
        <v>123</v>
      </c>
      <c r="I19" s="4" t="s">
        <v>124</v>
      </c>
      <c r="J19" s="4" t="s">
        <v>46</v>
      </c>
      <c r="K19" s="4" t="s">
        <v>42</v>
      </c>
      <c r="L19" s="4" t="s">
        <v>69</v>
      </c>
      <c r="M19" s="4"/>
      <c r="N19" s="15"/>
    </row>
    <row r="20" spans="1:14" customHeight="1" ht="64">
      <c r="A20" s="4" t="s">
        <v>14</v>
      </c>
      <c r="B20" s="11" t="s">
        <v>62</v>
      </c>
      <c r="C20" s="4" t="s">
        <v>15</v>
      </c>
      <c r="D20" s="4" t="s">
        <v>125</v>
      </c>
      <c r="E20" s="4" t="s">
        <v>81</v>
      </c>
      <c r="F20" s="4" t="s">
        <v>126</v>
      </c>
      <c r="G20" s="4" t="s">
        <v>97</v>
      </c>
      <c r="H20" s="4" t="s">
        <v>127</v>
      </c>
      <c r="I20" s="4" t="s">
        <v>128</v>
      </c>
      <c r="J20" s="4" t="s">
        <v>46</v>
      </c>
      <c r="K20" s="4" t="s">
        <v>42</v>
      </c>
      <c r="L20" s="4" t="s">
        <v>129</v>
      </c>
      <c r="M20" s="4"/>
      <c r="N20" s="15"/>
    </row>
    <row r="21" spans="1:14" customHeight="1" ht="64">
      <c r="A21" s="4" t="s">
        <v>17</v>
      </c>
      <c r="B21" s="11" t="s">
        <v>62</v>
      </c>
      <c r="C21" s="4" t="s">
        <v>18</v>
      </c>
      <c r="D21" s="4" t="s">
        <v>130</v>
      </c>
      <c r="E21" s="4" t="s">
        <v>64</v>
      </c>
      <c r="F21" s="4" t="s">
        <v>131</v>
      </c>
      <c r="G21" s="4" t="s">
        <v>132</v>
      </c>
      <c r="H21" s="4" t="s">
        <v>133</v>
      </c>
      <c r="I21" s="4" t="s">
        <v>134</v>
      </c>
      <c r="J21" s="4" t="s">
        <v>46</v>
      </c>
      <c r="K21" s="4" t="s">
        <v>42</v>
      </c>
      <c r="L21" s="4" t="s">
        <v>69</v>
      </c>
      <c r="M21" s="4"/>
      <c r="N21" s="15"/>
    </row>
    <row r="22" spans="1:14" customHeight="1" ht="64">
      <c r="A22" s="4" t="s">
        <v>17</v>
      </c>
      <c r="B22" s="11" t="s">
        <v>62</v>
      </c>
      <c r="C22" s="4" t="s">
        <v>18</v>
      </c>
      <c r="D22" s="4" t="s">
        <v>135</v>
      </c>
      <c r="E22" s="4" t="s">
        <v>64</v>
      </c>
      <c r="F22" s="4" t="s">
        <v>136</v>
      </c>
      <c r="G22" s="4" t="s">
        <v>137</v>
      </c>
      <c r="H22" s="4" t="s">
        <v>138</v>
      </c>
      <c r="I22" s="4" t="s">
        <v>139</v>
      </c>
      <c r="J22" s="4" t="s">
        <v>46</v>
      </c>
      <c r="K22" s="4" t="s">
        <v>42</v>
      </c>
      <c r="L22" s="4" t="s">
        <v>69</v>
      </c>
      <c r="M22" s="4"/>
      <c r="N22" s="15"/>
    </row>
    <row r="23" spans="1:14" customHeight="1" ht="64">
      <c r="A23" s="4" t="s">
        <v>17</v>
      </c>
      <c r="B23" s="11" t="s">
        <v>62</v>
      </c>
      <c r="C23" s="4" t="s">
        <v>18</v>
      </c>
      <c r="D23" s="4" t="s">
        <v>140</v>
      </c>
      <c r="E23" s="4" t="s">
        <v>64</v>
      </c>
      <c r="F23" s="4" t="s">
        <v>141</v>
      </c>
      <c r="G23" s="4" t="s">
        <v>142</v>
      </c>
      <c r="H23" s="4" t="s">
        <v>143</v>
      </c>
      <c r="I23" s="4" t="s">
        <v>144</v>
      </c>
      <c r="J23" s="4" t="s">
        <v>46</v>
      </c>
      <c r="K23" s="4" t="s">
        <v>42</v>
      </c>
      <c r="L23" s="4" t="s">
        <v>129</v>
      </c>
      <c r="M23" s="4"/>
      <c r="N23" s="15"/>
    </row>
    <row r="24" spans="1:14" customHeight="1" ht="64">
      <c r="A24" s="4" t="s">
        <v>17</v>
      </c>
      <c r="B24" s="11" t="s">
        <v>62</v>
      </c>
      <c r="C24" s="4" t="s">
        <v>18</v>
      </c>
      <c r="D24" s="4" t="s">
        <v>145</v>
      </c>
      <c r="E24" s="4" t="s">
        <v>81</v>
      </c>
      <c r="F24" s="4" t="s">
        <v>146</v>
      </c>
      <c r="G24" s="4" t="s">
        <v>147</v>
      </c>
      <c r="H24" s="4" t="s">
        <v>148</v>
      </c>
      <c r="I24" s="4" t="s">
        <v>149</v>
      </c>
      <c r="J24" s="4" t="s">
        <v>46</v>
      </c>
      <c r="K24" s="4" t="s">
        <v>42</v>
      </c>
      <c r="L24" s="4" t="s">
        <v>150</v>
      </c>
      <c r="M24" s="4"/>
      <c r="N24" s="15"/>
    </row>
    <row r="25" spans="1:14" customHeight="1" ht="64">
      <c r="A25" s="4" t="s">
        <v>17</v>
      </c>
      <c r="B25" s="11" t="s">
        <v>62</v>
      </c>
      <c r="C25" s="4" t="s">
        <v>18</v>
      </c>
      <c r="D25" s="4" t="s">
        <v>151</v>
      </c>
      <c r="E25" s="4" t="s">
        <v>81</v>
      </c>
      <c r="F25" s="4" t="s">
        <v>152</v>
      </c>
      <c r="G25" s="4" t="s">
        <v>153</v>
      </c>
      <c r="H25" s="4" t="s">
        <v>154</v>
      </c>
      <c r="I25" s="4" t="s">
        <v>155</v>
      </c>
      <c r="J25" s="4" t="s">
        <v>46</v>
      </c>
      <c r="K25" s="4" t="s">
        <v>42</v>
      </c>
      <c r="L25" s="4" t="s">
        <v>150</v>
      </c>
      <c r="M25" s="4"/>
      <c r="N25" s="15"/>
    </row>
    <row r="26" spans="1:14" customHeight="1" ht="64">
      <c r="A26" s="4" t="s">
        <v>20</v>
      </c>
      <c r="B26" s="11" t="s">
        <v>62</v>
      </c>
      <c r="C26" s="4" t="s">
        <v>21</v>
      </c>
      <c r="D26" s="4" t="s">
        <v>156</v>
      </c>
      <c r="E26" s="4" t="s">
        <v>64</v>
      </c>
      <c r="F26" s="4" t="s">
        <v>157</v>
      </c>
      <c r="G26" s="4" t="s">
        <v>158</v>
      </c>
      <c r="H26" s="4" t="s">
        <v>159</v>
      </c>
      <c r="I26" s="4" t="s">
        <v>160</v>
      </c>
      <c r="J26" s="4" t="s">
        <v>46</v>
      </c>
      <c r="K26" s="4" t="s">
        <v>42</v>
      </c>
      <c r="L26" s="4" t="s">
        <v>69</v>
      </c>
      <c r="M26" s="4"/>
      <c r="N26" s="15"/>
    </row>
    <row r="27" spans="1:14" customHeight="1" ht="64">
      <c r="A27" s="4" t="s">
        <v>20</v>
      </c>
      <c r="B27" s="11" t="s">
        <v>62</v>
      </c>
      <c r="C27" s="4" t="s">
        <v>21</v>
      </c>
      <c r="D27" s="4" t="s">
        <v>161</v>
      </c>
      <c r="E27" s="4" t="s">
        <v>64</v>
      </c>
      <c r="F27" s="4" t="s">
        <v>162</v>
      </c>
      <c r="G27" s="4" t="s">
        <v>163</v>
      </c>
      <c r="H27" s="4" t="s">
        <v>164</v>
      </c>
      <c r="I27" s="4" t="s">
        <v>165</v>
      </c>
      <c r="J27" s="4" t="s">
        <v>46</v>
      </c>
      <c r="K27" s="4" t="s">
        <v>42</v>
      </c>
      <c r="L27" s="4" t="s">
        <v>69</v>
      </c>
      <c r="M27" s="4"/>
      <c r="N27" s="15"/>
    </row>
    <row r="28" spans="1:14" customHeight="1" ht="64">
      <c r="A28" s="4" t="s">
        <v>20</v>
      </c>
      <c r="B28" s="11" t="s">
        <v>62</v>
      </c>
      <c r="C28" s="4" t="s">
        <v>21</v>
      </c>
      <c r="D28" s="4" t="s">
        <v>166</v>
      </c>
      <c r="E28" s="4" t="s">
        <v>64</v>
      </c>
      <c r="F28" s="4" t="s">
        <v>167</v>
      </c>
      <c r="G28" s="4" t="s">
        <v>163</v>
      </c>
      <c r="H28" s="4" t="s">
        <v>168</v>
      </c>
      <c r="I28" s="4" t="s">
        <v>169</v>
      </c>
      <c r="J28" s="4" t="s">
        <v>46</v>
      </c>
      <c r="K28" s="4" t="s">
        <v>42</v>
      </c>
      <c r="L28" s="4" t="s">
        <v>69</v>
      </c>
      <c r="M28" s="4"/>
      <c r="N28" s="15"/>
    </row>
    <row r="29" spans="1:14" customHeight="1" ht="64">
      <c r="A29" s="4" t="s">
        <v>20</v>
      </c>
      <c r="B29" s="11" t="s">
        <v>62</v>
      </c>
      <c r="C29" s="4" t="s">
        <v>21</v>
      </c>
      <c r="D29" s="4" t="s">
        <v>170</v>
      </c>
      <c r="E29" s="4" t="s">
        <v>64</v>
      </c>
      <c r="F29" s="4" t="s">
        <v>171</v>
      </c>
      <c r="G29" s="4" t="s">
        <v>107</v>
      </c>
      <c r="H29" s="4" t="s">
        <v>172</v>
      </c>
      <c r="I29" s="4" t="s">
        <v>173</v>
      </c>
      <c r="J29" s="4" t="s">
        <v>46</v>
      </c>
      <c r="K29" s="4" t="s">
        <v>42</v>
      </c>
      <c r="L29" s="4" t="s">
        <v>69</v>
      </c>
      <c r="M29" s="4"/>
      <c r="N29" s="15"/>
    </row>
    <row r="30" spans="1:14" customHeight="1" ht="64">
      <c r="A30" s="4" t="s">
        <v>20</v>
      </c>
      <c r="B30" s="11" t="s">
        <v>62</v>
      </c>
      <c r="C30" s="4" t="s">
        <v>21</v>
      </c>
      <c r="D30" s="4" t="s">
        <v>174</v>
      </c>
      <c r="E30" s="4" t="s">
        <v>81</v>
      </c>
      <c r="F30" s="4" t="s">
        <v>175</v>
      </c>
      <c r="G30" s="4" t="s">
        <v>176</v>
      </c>
      <c r="H30" s="4" t="s">
        <v>177</v>
      </c>
      <c r="I30" s="4" t="s">
        <v>178</v>
      </c>
      <c r="J30" s="4" t="s">
        <v>46</v>
      </c>
      <c r="K30" s="4" t="s">
        <v>42</v>
      </c>
      <c r="L30" s="4" t="s">
        <v>69</v>
      </c>
      <c r="M30" s="4"/>
      <c r="N30" s="15"/>
    </row>
    <row r="31" spans="1:14" customHeight="1" ht="64">
      <c r="A31" s="4" t="s">
        <v>20</v>
      </c>
      <c r="B31" s="11" t="s">
        <v>62</v>
      </c>
      <c r="C31" s="4" t="s">
        <v>21</v>
      </c>
      <c r="D31" s="4" t="s">
        <v>179</v>
      </c>
      <c r="E31" s="4" t="s">
        <v>81</v>
      </c>
      <c r="F31" s="4" t="s">
        <v>180</v>
      </c>
      <c r="G31" s="4" t="s">
        <v>181</v>
      </c>
      <c r="H31" s="4" t="s">
        <v>182</v>
      </c>
      <c r="I31" s="4" t="s">
        <v>183</v>
      </c>
      <c r="J31" s="4" t="s">
        <v>46</v>
      </c>
      <c r="K31" s="4" t="s">
        <v>42</v>
      </c>
      <c r="L31" s="4" t="s">
        <v>184</v>
      </c>
      <c r="M31" s="4"/>
      <c r="N31" s="15"/>
    </row>
    <row r="32" spans="1:14" customHeight="1" ht="64">
      <c r="A32" s="4" t="s">
        <v>23</v>
      </c>
      <c r="B32" s="11" t="s">
        <v>62</v>
      </c>
      <c r="C32" s="4" t="s">
        <v>24</v>
      </c>
      <c r="D32" s="4" t="s">
        <v>185</v>
      </c>
      <c r="E32" s="4" t="s">
        <v>64</v>
      </c>
      <c r="F32" s="4" t="s">
        <v>186</v>
      </c>
      <c r="G32" s="4" t="s">
        <v>187</v>
      </c>
      <c r="H32" s="4" t="s">
        <v>188</v>
      </c>
      <c r="I32" s="14" t="s">
        <v>189</v>
      </c>
      <c r="J32" s="4" t="s">
        <v>46</v>
      </c>
      <c r="K32" s="4" t="s">
        <v>42</v>
      </c>
      <c r="L32" s="4" t="s">
        <v>69</v>
      </c>
      <c r="M32" s="4"/>
      <c r="N32" s="15"/>
    </row>
    <row r="33" spans="1:14" customHeight="1" ht="64">
      <c r="A33" s="4" t="s">
        <v>23</v>
      </c>
      <c r="B33" s="11" t="s">
        <v>62</v>
      </c>
      <c r="C33" s="4" t="s">
        <v>24</v>
      </c>
      <c r="D33" s="4" t="s">
        <v>190</v>
      </c>
      <c r="E33" s="4" t="s">
        <v>64</v>
      </c>
      <c r="F33" s="4" t="s">
        <v>191</v>
      </c>
      <c r="G33" s="4" t="s">
        <v>192</v>
      </c>
      <c r="H33" s="4" t="s">
        <v>193</v>
      </c>
      <c r="I33" s="4" t="s">
        <v>194</v>
      </c>
      <c r="J33" s="4" t="s">
        <v>46</v>
      </c>
      <c r="K33" s="4" t="s">
        <v>42</v>
      </c>
      <c r="L33" s="4" t="s">
        <v>69</v>
      </c>
      <c r="M33" s="4"/>
      <c r="N33" s="15"/>
    </row>
    <row r="34" spans="1:14" customHeight="1" ht="64">
      <c r="A34" s="4" t="s">
        <v>23</v>
      </c>
      <c r="B34" s="11" t="s">
        <v>62</v>
      </c>
      <c r="C34" s="4" t="s">
        <v>24</v>
      </c>
      <c r="D34" s="4" t="s">
        <v>195</v>
      </c>
      <c r="E34" s="4" t="s">
        <v>64</v>
      </c>
      <c r="F34" s="4" t="s">
        <v>196</v>
      </c>
      <c r="G34" s="4" t="s">
        <v>192</v>
      </c>
      <c r="H34" s="4" t="s">
        <v>197</v>
      </c>
      <c r="I34" s="4" t="s">
        <v>198</v>
      </c>
      <c r="J34" s="4" t="s">
        <v>46</v>
      </c>
      <c r="K34" s="4" t="s">
        <v>42</v>
      </c>
      <c r="L34" s="4" t="s">
        <v>69</v>
      </c>
      <c r="M34" s="4"/>
      <c r="N34" s="15"/>
    </row>
    <row r="35" spans="1:14" customHeight="1" ht="64">
      <c r="A35" s="4" t="s">
        <v>23</v>
      </c>
      <c r="B35" s="11" t="s">
        <v>62</v>
      </c>
      <c r="C35" s="4" t="s">
        <v>24</v>
      </c>
      <c r="D35" s="4" t="s">
        <v>199</v>
      </c>
      <c r="E35" s="4" t="s">
        <v>81</v>
      </c>
      <c r="F35" s="4" t="s">
        <v>200</v>
      </c>
      <c r="G35" s="4" t="s">
        <v>201</v>
      </c>
      <c r="H35" s="4" t="s">
        <v>202</v>
      </c>
      <c r="I35" s="4" t="s">
        <v>203</v>
      </c>
      <c r="J35" s="4" t="s">
        <v>46</v>
      </c>
      <c r="K35" s="4" t="s">
        <v>42</v>
      </c>
      <c r="L35" s="4" t="s">
        <v>69</v>
      </c>
      <c r="M35" s="4"/>
      <c r="N35" s="15"/>
    </row>
    <row r="36" spans="1:14" customHeight="1" ht="64">
      <c r="A36" s="4" t="s">
        <v>23</v>
      </c>
      <c r="B36" s="11" t="s">
        <v>62</v>
      </c>
      <c r="C36" s="4" t="s">
        <v>24</v>
      </c>
      <c r="D36" s="4" t="s">
        <v>204</v>
      </c>
      <c r="E36" s="4" t="s">
        <v>81</v>
      </c>
      <c r="F36" s="4" t="s">
        <v>205</v>
      </c>
      <c r="G36" s="4" t="s">
        <v>107</v>
      </c>
      <c r="H36" s="4" t="s">
        <v>206</v>
      </c>
      <c r="I36" s="4" t="s">
        <v>207</v>
      </c>
      <c r="J36" s="4" t="s">
        <v>46</v>
      </c>
      <c r="K36" s="4" t="s">
        <v>42</v>
      </c>
      <c r="L36" s="4" t="s">
        <v>69</v>
      </c>
      <c r="M36" s="4"/>
      <c r="N36" s="15"/>
    </row>
    <row r="37" spans="1:14" customHeight="1" ht="64">
      <c r="A37" s="4" t="s">
        <v>23</v>
      </c>
      <c r="B37" s="11" t="s">
        <v>62</v>
      </c>
      <c r="C37" s="4" t="s">
        <v>24</v>
      </c>
      <c r="D37" s="4" t="s">
        <v>208</v>
      </c>
      <c r="E37" s="4" t="s">
        <v>81</v>
      </c>
      <c r="F37" s="4" t="s">
        <v>209</v>
      </c>
      <c r="G37" s="4" t="s">
        <v>181</v>
      </c>
      <c r="H37" s="4" t="s">
        <v>210</v>
      </c>
      <c r="I37" s="4" t="s">
        <v>211</v>
      </c>
      <c r="J37" s="4" t="s">
        <v>46</v>
      </c>
      <c r="K37" s="4" t="s">
        <v>42</v>
      </c>
      <c r="L37" s="4" t="s">
        <v>69</v>
      </c>
      <c r="M37" s="4"/>
      <c r="N37" s="15"/>
    </row>
    <row r="38" spans="1:14" customHeight="1" ht="64">
      <c r="A38" s="4" t="s">
        <v>26</v>
      </c>
      <c r="B38" s="11" t="s">
        <v>62</v>
      </c>
      <c r="C38" s="4" t="s">
        <v>27</v>
      </c>
      <c r="D38" s="4" t="s">
        <v>212</v>
      </c>
      <c r="E38" s="4" t="s">
        <v>64</v>
      </c>
      <c r="F38" s="4" t="s">
        <v>213</v>
      </c>
      <c r="G38" s="4" t="s">
        <v>214</v>
      </c>
      <c r="H38" s="4" t="s">
        <v>215</v>
      </c>
      <c r="I38" s="4" t="s">
        <v>216</v>
      </c>
      <c r="J38" s="4" t="s">
        <v>46</v>
      </c>
      <c r="K38" s="4" t="s">
        <v>42</v>
      </c>
      <c r="L38" s="4" t="s">
        <v>69</v>
      </c>
      <c r="M38" s="4"/>
      <c r="N38" s="15"/>
    </row>
    <row r="39" spans="1:14" customHeight="1" ht="64">
      <c r="A39" s="4" t="s">
        <v>26</v>
      </c>
      <c r="B39" s="11" t="s">
        <v>62</v>
      </c>
      <c r="C39" s="4" t="s">
        <v>27</v>
      </c>
      <c r="D39" s="4" t="s">
        <v>217</v>
      </c>
      <c r="E39" s="4" t="s">
        <v>64</v>
      </c>
      <c r="F39" s="4" t="s">
        <v>218</v>
      </c>
      <c r="G39" s="4" t="s">
        <v>214</v>
      </c>
      <c r="H39" s="4" t="s">
        <v>219</v>
      </c>
      <c r="I39" s="4" t="s">
        <v>220</v>
      </c>
      <c r="J39" s="4" t="s">
        <v>46</v>
      </c>
      <c r="K39" s="4" t="s">
        <v>42</v>
      </c>
      <c r="L39" s="4" t="s">
        <v>69</v>
      </c>
      <c r="M39" s="4"/>
      <c r="N39" s="15"/>
    </row>
    <row r="40" spans="1:14" customHeight="1" ht="64">
      <c r="A40" s="4" t="s">
        <v>26</v>
      </c>
      <c r="B40" s="11" t="s">
        <v>62</v>
      </c>
      <c r="C40" s="4" t="s">
        <v>27</v>
      </c>
      <c r="D40" s="4" t="s">
        <v>221</v>
      </c>
      <c r="E40" s="4" t="s">
        <v>64</v>
      </c>
      <c r="F40" s="4" t="s">
        <v>222</v>
      </c>
      <c r="G40" s="4" t="s">
        <v>223</v>
      </c>
      <c r="H40" s="4" t="s">
        <v>224</v>
      </c>
      <c r="I40" s="4" t="s">
        <v>225</v>
      </c>
      <c r="J40" s="4" t="s">
        <v>46</v>
      </c>
      <c r="K40" s="4" t="s">
        <v>42</v>
      </c>
      <c r="L40" s="4" t="s">
        <v>69</v>
      </c>
      <c r="M40" s="4"/>
      <c r="N40" s="15"/>
    </row>
    <row r="41" spans="1:14" customHeight="1" ht="64">
      <c r="A41" s="4" t="s">
        <v>26</v>
      </c>
      <c r="B41" s="11" t="s">
        <v>62</v>
      </c>
      <c r="C41" s="4" t="s">
        <v>27</v>
      </c>
      <c r="D41" s="4" t="s">
        <v>226</v>
      </c>
      <c r="E41" s="4" t="s">
        <v>81</v>
      </c>
      <c r="F41" s="4" t="s">
        <v>227</v>
      </c>
      <c r="G41" s="4" t="s">
        <v>228</v>
      </c>
      <c r="H41" s="4" t="s">
        <v>229</v>
      </c>
      <c r="I41" s="4" t="s">
        <v>230</v>
      </c>
      <c r="J41" s="4" t="s">
        <v>46</v>
      </c>
      <c r="K41" s="4" t="s">
        <v>42</v>
      </c>
      <c r="L41" s="4" t="s">
        <v>69</v>
      </c>
      <c r="M41" s="4"/>
      <c r="N41" s="15"/>
    </row>
    <row r="42" spans="1:14" customHeight="1" ht="64">
      <c r="A42" s="4" t="s">
        <v>26</v>
      </c>
      <c r="B42" s="11" t="s">
        <v>62</v>
      </c>
      <c r="C42" s="4" t="s">
        <v>27</v>
      </c>
      <c r="D42" s="4" t="s">
        <v>231</v>
      </c>
      <c r="E42" s="4" t="s">
        <v>81</v>
      </c>
      <c r="F42" s="4" t="s">
        <v>232</v>
      </c>
      <c r="G42" s="4" t="s">
        <v>107</v>
      </c>
      <c r="H42" s="4" t="s">
        <v>233</v>
      </c>
      <c r="I42" s="4" t="s">
        <v>234</v>
      </c>
      <c r="J42" s="4" t="s">
        <v>46</v>
      </c>
      <c r="K42" s="4" t="s">
        <v>42</v>
      </c>
      <c r="L42" s="4" t="s">
        <v>69</v>
      </c>
      <c r="M42" s="4"/>
      <c r="N42" s="15"/>
    </row>
    <row r="43" spans="1:14" customHeight="1" ht="64">
      <c r="A43" s="4" t="s">
        <v>26</v>
      </c>
      <c r="B43" s="11" t="s">
        <v>62</v>
      </c>
      <c r="C43" s="4" t="s">
        <v>27</v>
      </c>
      <c r="D43" s="4" t="s">
        <v>235</v>
      </c>
      <c r="E43" s="4" t="s">
        <v>81</v>
      </c>
      <c r="F43" s="4" t="s">
        <v>236</v>
      </c>
      <c r="G43" s="4" t="s">
        <v>181</v>
      </c>
      <c r="H43" s="4" t="s">
        <v>237</v>
      </c>
      <c r="I43" s="4" t="s">
        <v>238</v>
      </c>
      <c r="J43" s="4" t="s">
        <v>46</v>
      </c>
      <c r="K43" s="4" t="s">
        <v>42</v>
      </c>
      <c r="L43" s="4" t="s">
        <v>69</v>
      </c>
      <c r="M43" s="4"/>
      <c r="N43" s="15"/>
    </row>
    <row r="44" spans="1:14" customHeight="1" ht="64">
      <c r="A44" s="4" t="s">
        <v>26</v>
      </c>
      <c r="B44" s="11" t="s">
        <v>62</v>
      </c>
      <c r="C44" s="4" t="s">
        <v>27</v>
      </c>
      <c r="D44" s="4" t="s">
        <v>239</v>
      </c>
      <c r="E44" s="4" t="s">
        <v>64</v>
      </c>
      <c r="F44" s="4" t="s">
        <v>240</v>
      </c>
      <c r="G44" s="4" t="s">
        <v>241</v>
      </c>
      <c r="H44" s="4" t="s">
        <v>242</v>
      </c>
      <c r="I44" s="4" t="s">
        <v>243</v>
      </c>
      <c r="J44" s="4" t="s">
        <v>46</v>
      </c>
      <c r="K44" s="4" t="s">
        <v>42</v>
      </c>
      <c r="L44" s="4" t="s">
        <v>69</v>
      </c>
      <c r="M44" s="4"/>
      <c r="N44" s="15"/>
    </row>
    <row r="45" spans="1:14" customHeight="1" ht="64">
      <c r="A45" s="4" t="s">
        <v>29</v>
      </c>
      <c r="B45" s="11" t="s">
        <v>62</v>
      </c>
      <c r="C45" s="4" t="s">
        <v>30</v>
      </c>
      <c r="D45" s="4" t="s">
        <v>244</v>
      </c>
      <c r="E45" s="4" t="s">
        <v>64</v>
      </c>
      <c r="F45" s="4" t="s">
        <v>245</v>
      </c>
      <c r="G45" s="4" t="s">
        <v>107</v>
      </c>
      <c r="H45" s="4" t="s">
        <v>246</v>
      </c>
      <c r="I45" s="4" t="s">
        <v>247</v>
      </c>
      <c r="J45" s="4" t="s">
        <v>46</v>
      </c>
      <c r="K45" s="4" t="s">
        <v>42</v>
      </c>
      <c r="L45" s="4" t="s">
        <v>69</v>
      </c>
      <c r="M45" s="4"/>
      <c r="N45" s="15"/>
    </row>
    <row r="46" spans="1:14" customHeight="1" ht="64">
      <c r="A46" s="4" t="s">
        <v>29</v>
      </c>
      <c r="B46" s="11" t="s">
        <v>62</v>
      </c>
      <c r="C46" s="4" t="s">
        <v>30</v>
      </c>
      <c r="D46" s="4" t="s">
        <v>248</v>
      </c>
      <c r="E46" s="4" t="s">
        <v>64</v>
      </c>
      <c r="F46" s="4" t="s">
        <v>249</v>
      </c>
      <c r="G46" s="4" t="s">
        <v>250</v>
      </c>
      <c r="H46" s="4" t="s">
        <v>251</v>
      </c>
      <c r="I46" s="4" t="s">
        <v>252</v>
      </c>
      <c r="J46" s="4" t="s">
        <v>46</v>
      </c>
      <c r="K46" s="4" t="s">
        <v>42</v>
      </c>
      <c r="L46" s="4" t="s">
        <v>69</v>
      </c>
      <c r="M46" s="4"/>
      <c r="N46" s="15"/>
    </row>
    <row r="47" spans="1:14" customHeight="1" ht="64">
      <c r="A47" s="4" t="s">
        <v>29</v>
      </c>
      <c r="B47" s="11" t="s">
        <v>62</v>
      </c>
      <c r="C47" s="4" t="s">
        <v>30</v>
      </c>
      <c r="D47" s="4" t="s">
        <v>253</v>
      </c>
      <c r="E47" s="4" t="s">
        <v>64</v>
      </c>
      <c r="F47" s="4" t="s">
        <v>254</v>
      </c>
      <c r="G47" s="4" t="s">
        <v>255</v>
      </c>
      <c r="H47" s="4" t="s">
        <v>256</v>
      </c>
      <c r="I47" s="4" t="s">
        <v>257</v>
      </c>
      <c r="J47" s="4" t="s">
        <v>46</v>
      </c>
      <c r="K47" s="4" t="s">
        <v>42</v>
      </c>
      <c r="L47" s="4" t="s">
        <v>69</v>
      </c>
      <c r="M47" s="4"/>
      <c r="N47" s="15"/>
    </row>
    <row r="48" spans="1:14" customHeight="1" ht="64">
      <c r="A48" s="4" t="s">
        <v>29</v>
      </c>
      <c r="B48" s="11" t="s">
        <v>62</v>
      </c>
      <c r="C48" s="4" t="s">
        <v>30</v>
      </c>
      <c r="D48" s="4" t="s">
        <v>258</v>
      </c>
      <c r="E48" s="4" t="s">
        <v>81</v>
      </c>
      <c r="F48" s="4" t="s">
        <v>259</v>
      </c>
      <c r="G48" s="4" t="s">
        <v>107</v>
      </c>
      <c r="H48" s="4" t="s">
        <v>260</v>
      </c>
      <c r="I48" s="4" t="s">
        <v>207</v>
      </c>
      <c r="J48" s="4" t="s">
        <v>46</v>
      </c>
      <c r="K48" s="4" t="s">
        <v>42</v>
      </c>
      <c r="L48" s="4" t="s">
        <v>69</v>
      </c>
      <c r="M48" s="4"/>
      <c r="N48" s="15"/>
    </row>
    <row r="49" spans="1:14" customHeight="1" ht="64">
      <c r="A49" s="4" t="s">
        <v>29</v>
      </c>
      <c r="B49" s="11" t="s">
        <v>62</v>
      </c>
      <c r="C49" s="4" t="s">
        <v>30</v>
      </c>
      <c r="D49" s="4" t="s">
        <v>261</v>
      </c>
      <c r="E49" s="4" t="s">
        <v>81</v>
      </c>
      <c r="F49" s="4" t="s">
        <v>262</v>
      </c>
      <c r="G49" s="4" t="s">
        <v>107</v>
      </c>
      <c r="H49" s="4" t="s">
        <v>263</v>
      </c>
      <c r="I49" s="4" t="s">
        <v>264</v>
      </c>
      <c r="J49" s="4" t="s">
        <v>46</v>
      </c>
      <c r="K49" s="4" t="s">
        <v>42</v>
      </c>
      <c r="L49" s="4" t="s">
        <v>69</v>
      </c>
      <c r="M49" s="4"/>
      <c r="N49" s="15"/>
    </row>
    <row r="50" spans="1:14" customHeight="1" ht="64">
      <c r="A50" s="4" t="s">
        <v>29</v>
      </c>
      <c r="B50" s="11" t="s">
        <v>62</v>
      </c>
      <c r="C50" s="4" t="s">
        <v>30</v>
      </c>
      <c r="D50" s="4" t="s">
        <v>265</v>
      </c>
      <c r="E50" s="4" t="s">
        <v>81</v>
      </c>
      <c r="F50" s="4" t="s">
        <v>266</v>
      </c>
      <c r="G50" s="4" t="s">
        <v>181</v>
      </c>
      <c r="H50" s="4" t="s">
        <v>267</v>
      </c>
      <c r="I50" s="4" t="s">
        <v>211</v>
      </c>
      <c r="J50" s="4" t="s">
        <v>46</v>
      </c>
      <c r="K50" s="4" t="s">
        <v>42</v>
      </c>
      <c r="L50" s="4" t="s">
        <v>69</v>
      </c>
      <c r="M50" s="4"/>
      <c r="N50" s="5"/>
    </row>
    <row r="51" spans="1:14" customHeight="1" ht="64">
      <c r="A51" s="4" t="s">
        <v>32</v>
      </c>
      <c r="B51" s="11" t="s">
        <v>62</v>
      </c>
      <c r="C51" s="4" t="s">
        <v>33</v>
      </c>
      <c r="D51" s="4" t="s">
        <v>268</v>
      </c>
      <c r="E51" s="4" t="s">
        <v>64</v>
      </c>
      <c r="F51" s="4" t="s">
        <v>269</v>
      </c>
      <c r="G51" s="4" t="s">
        <v>270</v>
      </c>
      <c r="H51" s="4" t="s">
        <v>271</v>
      </c>
      <c r="I51" s="4" t="s">
        <v>272</v>
      </c>
      <c r="J51" s="4" t="s">
        <v>46</v>
      </c>
      <c r="K51" s="4" t="s">
        <v>42</v>
      </c>
      <c r="L51" s="4" t="s">
        <v>69</v>
      </c>
      <c r="M51" s="4"/>
      <c r="N51" s="5"/>
    </row>
    <row r="52" spans="1:14" customHeight="1" ht="64">
      <c r="A52" s="4" t="s">
        <v>32</v>
      </c>
      <c r="B52" s="11" t="s">
        <v>62</v>
      </c>
      <c r="C52" s="4" t="s">
        <v>33</v>
      </c>
      <c r="D52" s="4" t="s">
        <v>273</v>
      </c>
      <c r="E52" s="4" t="s">
        <v>64</v>
      </c>
      <c r="F52" s="4" t="s">
        <v>274</v>
      </c>
      <c r="G52" s="4" t="s">
        <v>275</v>
      </c>
      <c r="H52" s="4" t="s">
        <v>276</v>
      </c>
      <c r="I52" s="4" t="s">
        <v>277</v>
      </c>
      <c r="J52" s="4" t="s">
        <v>46</v>
      </c>
      <c r="K52" s="4" t="s">
        <v>42</v>
      </c>
      <c r="L52" s="4" t="s">
        <v>69</v>
      </c>
      <c r="M52" s="4"/>
      <c r="N52" s="5"/>
    </row>
    <row r="53" spans="1:14" customHeight="1" ht="64">
      <c r="A53" s="4" t="s">
        <v>32</v>
      </c>
      <c r="B53" s="11" t="s">
        <v>62</v>
      </c>
      <c r="C53" s="4" t="s">
        <v>33</v>
      </c>
      <c r="D53" s="4" t="s">
        <v>278</v>
      </c>
      <c r="E53" s="4" t="s">
        <v>64</v>
      </c>
      <c r="F53" s="4" t="s">
        <v>279</v>
      </c>
      <c r="G53" s="4" t="s">
        <v>280</v>
      </c>
      <c r="H53" s="4" t="s">
        <v>281</v>
      </c>
      <c r="I53" s="4" t="s">
        <v>282</v>
      </c>
      <c r="J53" s="4" t="s">
        <v>46</v>
      </c>
      <c r="K53" s="4" t="s">
        <v>42</v>
      </c>
      <c r="L53" s="4" t="s">
        <v>69</v>
      </c>
      <c r="M53" s="4"/>
      <c r="N53" s="5"/>
    </row>
    <row r="54" spans="1:14" customHeight="1" ht="64">
      <c r="A54" s="4" t="s">
        <v>32</v>
      </c>
      <c r="B54" s="11" t="s">
        <v>62</v>
      </c>
      <c r="C54" s="4" t="s">
        <v>33</v>
      </c>
      <c r="D54" s="4" t="s">
        <v>283</v>
      </c>
      <c r="E54" s="4" t="s">
        <v>81</v>
      </c>
      <c r="F54" s="4" t="s">
        <v>284</v>
      </c>
      <c r="G54" s="4" t="s">
        <v>181</v>
      </c>
      <c r="H54" s="4" t="s">
        <v>285</v>
      </c>
      <c r="I54" s="4" t="s">
        <v>183</v>
      </c>
      <c r="J54" s="4" t="s">
        <v>46</v>
      </c>
      <c r="K54" s="4" t="s">
        <v>42</v>
      </c>
      <c r="L54" s="4" t="s">
        <v>69</v>
      </c>
      <c r="M54" s="4"/>
      <c r="N54" s="5"/>
    </row>
    <row r="55" spans="1:14" customHeight="1" ht="64">
      <c r="A55" s="4" t="s">
        <v>35</v>
      </c>
      <c r="B55" s="11" t="s">
        <v>62</v>
      </c>
      <c r="C55" s="4" t="s">
        <v>36</v>
      </c>
      <c r="D55" s="4" t="s">
        <v>286</v>
      </c>
      <c r="E55" s="4" t="s">
        <v>64</v>
      </c>
      <c r="F55" s="4" t="s">
        <v>287</v>
      </c>
      <c r="G55" s="4" t="s">
        <v>288</v>
      </c>
      <c r="H55" s="4" t="s">
        <v>289</v>
      </c>
      <c r="I55" s="4" t="s">
        <v>290</v>
      </c>
      <c r="J55" s="4" t="s">
        <v>46</v>
      </c>
      <c r="K55" s="4" t="s">
        <v>42</v>
      </c>
      <c r="L55" s="4" t="s">
        <v>150</v>
      </c>
      <c r="M55" s="4"/>
      <c r="N55" s="5"/>
    </row>
    <row r="56" spans="1:14" customHeight="1" ht="64">
      <c r="A56" s="4" t="s">
        <v>35</v>
      </c>
      <c r="B56" s="11" t="s">
        <v>62</v>
      </c>
      <c r="C56" s="4" t="s">
        <v>36</v>
      </c>
      <c r="D56" s="4" t="s">
        <v>291</v>
      </c>
      <c r="E56" s="4" t="s">
        <v>64</v>
      </c>
      <c r="F56" s="4" t="s">
        <v>292</v>
      </c>
      <c r="G56" s="4" t="s">
        <v>192</v>
      </c>
      <c r="H56" s="4" t="s">
        <v>293</v>
      </c>
      <c r="I56" s="4" t="s">
        <v>294</v>
      </c>
      <c r="J56" s="4" t="s">
        <v>46</v>
      </c>
      <c r="K56" s="4" t="s">
        <v>42</v>
      </c>
      <c r="L56" s="4" t="s">
        <v>150</v>
      </c>
      <c r="M56" s="4"/>
      <c r="N56" s="5"/>
    </row>
    <row r="57" spans="1:14" customHeight="1" ht="64">
      <c r="A57" s="4" t="s">
        <v>35</v>
      </c>
      <c r="B57" s="11" t="s">
        <v>62</v>
      </c>
      <c r="C57" s="4" t="s">
        <v>36</v>
      </c>
      <c r="D57" s="4" t="s">
        <v>295</v>
      </c>
      <c r="E57" s="4" t="s">
        <v>81</v>
      </c>
      <c r="F57" s="4" t="s">
        <v>296</v>
      </c>
      <c r="G57" s="4" t="s">
        <v>297</v>
      </c>
      <c r="H57" s="4" t="s">
        <v>298</v>
      </c>
      <c r="I57" s="4" t="s">
        <v>299</v>
      </c>
      <c r="J57" s="4" t="s">
        <v>46</v>
      </c>
      <c r="K57" s="4" t="s">
        <v>42</v>
      </c>
      <c r="L57" s="4" t="s">
        <v>150</v>
      </c>
      <c r="M57" s="4"/>
      <c r="N57" s="5"/>
    </row>
    <row r="58" spans="1:14" customHeight="1" ht="64">
      <c r="A58" s="4" t="s">
        <v>35</v>
      </c>
      <c r="B58" s="11" t="s">
        <v>62</v>
      </c>
      <c r="C58" s="4" t="s">
        <v>36</v>
      </c>
      <c r="D58" s="4" t="s">
        <v>300</v>
      </c>
      <c r="E58" s="4" t="s">
        <v>81</v>
      </c>
      <c r="F58" s="4" t="s">
        <v>301</v>
      </c>
      <c r="G58" s="4" t="s">
        <v>297</v>
      </c>
      <c r="H58" s="4" t="s">
        <v>302</v>
      </c>
      <c r="I58" s="4" t="s">
        <v>303</v>
      </c>
      <c r="J58" s="4" t="s">
        <v>46</v>
      </c>
      <c r="K58" s="4" t="s">
        <v>42</v>
      </c>
      <c r="L58" s="4" t="s">
        <v>150</v>
      </c>
      <c r="M58" s="4"/>
      <c r="N58" s="5"/>
    </row>
    <row r="59" spans="1:14" customHeight="1" ht="64">
      <c r="A59" s="4" t="s">
        <v>35</v>
      </c>
      <c r="B59" s="11" t="s">
        <v>62</v>
      </c>
      <c r="C59" s="4" t="s">
        <v>36</v>
      </c>
      <c r="D59" s="4" t="s">
        <v>304</v>
      </c>
      <c r="E59" s="4" t="s">
        <v>81</v>
      </c>
      <c r="F59" s="4" t="s">
        <v>305</v>
      </c>
      <c r="G59" s="4" t="s">
        <v>306</v>
      </c>
      <c r="H59" s="4" t="s">
        <v>307</v>
      </c>
      <c r="I59" s="4" t="s">
        <v>308</v>
      </c>
      <c r="J59" s="4" t="s">
        <v>46</v>
      </c>
      <c r="K59" s="4" t="s">
        <v>42</v>
      </c>
      <c r="L59" s="4" t="s">
        <v>150</v>
      </c>
      <c r="M59" s="4"/>
      <c r="N59" s="5"/>
    </row>
    <row r="60" spans="1:14" customHeight="1" ht="64">
      <c r="A60" s="4" t="s">
        <v>35</v>
      </c>
      <c r="B60" s="11" t="s">
        <v>62</v>
      </c>
      <c r="C60" s="4" t="s">
        <v>36</v>
      </c>
      <c r="D60" s="4" t="s">
        <v>309</v>
      </c>
      <c r="E60" s="4" t="s">
        <v>81</v>
      </c>
      <c r="F60" s="4" t="s">
        <v>310</v>
      </c>
      <c r="G60" s="4" t="s">
        <v>311</v>
      </c>
      <c r="H60" s="4" t="s">
        <v>312</v>
      </c>
      <c r="I60" s="4" t="s">
        <v>313</v>
      </c>
      <c r="J60" s="4" t="s">
        <v>46</v>
      </c>
      <c r="K60" s="4" t="s">
        <v>42</v>
      </c>
      <c r="L60" s="4" t="s">
        <v>150</v>
      </c>
      <c r="M60" s="4"/>
      <c r="N60" s="5"/>
    </row>
    <row r="61" spans="1:14" customHeight="1" ht="64">
      <c r="A61" s="4" t="s">
        <v>35</v>
      </c>
      <c r="B61" s="11" t="s">
        <v>62</v>
      </c>
      <c r="C61" s="4" t="s">
        <v>36</v>
      </c>
      <c r="D61" s="4" t="s">
        <v>314</v>
      </c>
      <c r="E61" s="4" t="s">
        <v>81</v>
      </c>
      <c r="F61" s="4" t="s">
        <v>315</v>
      </c>
      <c r="G61" s="4" t="s">
        <v>316</v>
      </c>
      <c r="H61" s="4" t="s">
        <v>317</v>
      </c>
      <c r="I61" s="4" t="s">
        <v>318</v>
      </c>
      <c r="J61" s="4" t="s">
        <v>46</v>
      </c>
      <c r="K61" s="4" t="s">
        <v>42</v>
      </c>
      <c r="L61" s="4" t="s">
        <v>150</v>
      </c>
      <c r="M61" s="4"/>
      <c r="N61" s="5"/>
    </row>
    <row r="62" spans="1:14" customHeight="1" ht="64">
      <c r="A62" s="4" t="s">
        <v>35</v>
      </c>
      <c r="B62" s="11" t="s">
        <v>62</v>
      </c>
      <c r="C62" s="4" t="s">
        <v>36</v>
      </c>
      <c r="D62" s="4" t="s">
        <v>319</v>
      </c>
      <c r="E62" s="4" t="s">
        <v>81</v>
      </c>
      <c r="F62" s="4" t="s">
        <v>320</v>
      </c>
      <c r="G62" s="4" t="s">
        <v>192</v>
      </c>
      <c r="H62" s="4" t="s">
        <v>321</v>
      </c>
      <c r="I62" s="4" t="s">
        <v>308</v>
      </c>
      <c r="J62" s="4" t="s">
        <v>46</v>
      </c>
      <c r="K62" s="4" t="s">
        <v>42</v>
      </c>
      <c r="L62" s="4" t="s">
        <v>150</v>
      </c>
      <c r="M62" s="4"/>
      <c r="N62" s="5"/>
    </row>
    <row r="63" spans="1:1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</sheetData>
  <mergeCells>
    <mergeCell ref="I6:M6"/>
    <mergeCell ref="A1:C1"/>
    <mergeCell ref="D1:M1"/>
    <mergeCell ref="A2:C2"/>
    <mergeCell ref="D2:M2"/>
    <mergeCell ref="A3:C3"/>
    <mergeCell ref="D3:M3"/>
    <mergeCell ref="A4:C5"/>
    <mergeCell ref="D4:E4"/>
    <mergeCell ref="J4:M4"/>
    <mergeCell ref="D5:E5"/>
    <mergeCell ref="J5:M5"/>
  </mergeCells>
  <hyperlinks>
    <hyperlink ref="D1" r:id="rId_hyperlink_1"/>
    <hyperlink ref="E1" r:id="rId_hyperlink_2"/>
    <hyperlink ref="F1" r:id="rId_hyperlink_3"/>
    <hyperlink ref="G1" r:id="rId_hyperlink_4"/>
    <hyperlink ref="H1" r:id="rId_hyperlink_5"/>
    <hyperlink ref="I1" r:id="rId_hyperlink_6"/>
    <hyperlink ref="J1" r:id="rId_hyperlink_7"/>
    <hyperlink ref="K1" r:id="rId_hyperlink_8"/>
    <hyperlink ref="L1" r:id="rId_hyperlink_9"/>
    <hyperlink ref="M1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C80"/>
  <sheetViews>
    <sheetView tabSelected="0" workbookViewId="0" zoomScale="90" showGridLines="true" showRowColHeaders="1">
      <selection activeCell="A1" sqref="A1:C80"/>
    </sheetView>
  </sheetViews>
  <sheetFormatPr defaultRowHeight="14.4" outlineLevelRow="0" outlineLevelCol="0"/>
  <cols>
    <col min="1" max="1" width="30" customWidth="true" style="1"/>
    <col min="2" max="2" width="56" customWidth="true" style="1"/>
    <col min="3" max="3" width="8.88671875" customWidth="true" style="1"/>
  </cols>
  <sheetData>
    <row r="1" spans="1:3">
      <c r="A1" s="5"/>
      <c r="B1" s="5"/>
      <c r="C1" s="5"/>
    </row>
    <row r="2" spans="1:3">
      <c r="A2" s="5"/>
      <c r="B2" s="5"/>
      <c r="C2" s="5"/>
    </row>
    <row r="3" spans="1:3">
      <c r="A3" s="37"/>
      <c r="B3" s="5"/>
      <c r="C3" s="5"/>
    </row>
    <row r="4" spans="1:3">
      <c r="A4" s="5"/>
      <c r="B4" s="5"/>
      <c r="C4" s="5"/>
    </row>
    <row r="5" spans="1:3" customHeight="1" ht="20.4">
      <c r="A5" s="42" t="s">
        <v>322</v>
      </c>
      <c r="B5" s="42"/>
      <c r="C5" s="15"/>
    </row>
    <row r="6" spans="1:3">
      <c r="A6" s="38" t="s">
        <v>323</v>
      </c>
      <c r="B6" s="7" t="s">
        <v>13</v>
      </c>
      <c r="C6" s="5"/>
    </row>
    <row r="7" spans="1:3">
      <c r="A7" s="38" t="s">
        <v>324</v>
      </c>
      <c r="B7" s="4" t="s">
        <v>325</v>
      </c>
      <c r="C7" s="5"/>
    </row>
    <row r="8" spans="1:3">
      <c r="A8" s="38" t="s">
        <v>326</v>
      </c>
      <c r="B8" s="39" t="s">
        <v>327</v>
      </c>
      <c r="C8" s="5"/>
    </row>
    <row r="9" spans="1:3">
      <c r="A9" s="38" t="s">
        <v>328</v>
      </c>
      <c r="B9" s="40" t="s">
        <v>329</v>
      </c>
      <c r="C9" s="5"/>
    </row>
    <row r="10" spans="1:3">
      <c r="A10" s="38" t="s">
        <v>330</v>
      </c>
      <c r="B10" s="4" t="s">
        <v>331</v>
      </c>
      <c r="C10" s="5"/>
    </row>
    <row r="11" spans="1:3">
      <c r="A11" s="38" t="s">
        <v>332</v>
      </c>
      <c r="B11" s="40" t="s">
        <v>333</v>
      </c>
      <c r="C11" s="5"/>
    </row>
    <row r="12" spans="1:3">
      <c r="A12" s="38" t="s">
        <v>334</v>
      </c>
      <c r="B12" s="4" t="s">
        <v>335</v>
      </c>
      <c r="C12" s="5"/>
    </row>
    <row r="13" spans="1:3">
      <c r="A13" s="38" t="s">
        <v>336</v>
      </c>
      <c r="B13" s="40" t="s">
        <v>337</v>
      </c>
      <c r="C13" s="5"/>
    </row>
    <row r="14" spans="1:3">
      <c r="A14" s="38" t="s">
        <v>338</v>
      </c>
      <c r="B14" s="4" t="s">
        <v>339</v>
      </c>
      <c r="C14" s="5"/>
    </row>
    <row r="15" spans="1:3">
      <c r="A15" s="38" t="s">
        <v>340</v>
      </c>
      <c r="B15" s="40" t="s">
        <v>337</v>
      </c>
      <c r="C15" s="5"/>
    </row>
    <row r="16" spans="1:3">
      <c r="A16" s="38" t="s">
        <v>341</v>
      </c>
      <c r="B16" s="7" t="s">
        <v>342</v>
      </c>
      <c r="C16" s="5"/>
    </row>
    <row r="17" spans="1:3">
      <c r="A17" s="38" t="s">
        <v>343</v>
      </c>
      <c r="B17" s="4" t="s">
        <v>344</v>
      </c>
      <c r="C17" s="5"/>
    </row>
    <row r="18" spans="1:3">
      <c r="A18" s="38" t="s">
        <v>345</v>
      </c>
      <c r="B18" s="41" t="s">
        <v>346</v>
      </c>
      <c r="C18" s="5"/>
    </row>
    <row r="19" spans="1:3">
      <c r="A19" s="38" t="s">
        <v>347</v>
      </c>
      <c r="B19" s="4" t="s">
        <v>348</v>
      </c>
      <c r="C19" s="5"/>
    </row>
    <row r="20" spans="1:3">
      <c r="A20" s="38" t="s">
        <v>349</v>
      </c>
      <c r="B20" s="4" t="s">
        <v>350</v>
      </c>
      <c r="C20" s="5"/>
    </row>
    <row r="21" spans="1:3">
      <c r="A21" s="38" t="s">
        <v>351</v>
      </c>
      <c r="B21" s="4" t="s">
        <v>352</v>
      </c>
      <c r="C21" s="5"/>
    </row>
    <row r="22" spans="1:3">
      <c r="A22" s="38" t="s">
        <v>353</v>
      </c>
      <c r="B22" s="4" t="s">
        <v>354</v>
      </c>
      <c r="C22" s="5"/>
    </row>
    <row r="23" spans="1:3">
      <c r="A23" s="38" t="s">
        <v>355</v>
      </c>
      <c r="B23" s="4" t="s">
        <v>354</v>
      </c>
      <c r="C23" s="5"/>
    </row>
    <row r="24" spans="1:3">
      <c r="A24" s="38" t="s">
        <v>356</v>
      </c>
      <c r="B24" s="4">
        <v>20</v>
      </c>
      <c r="C24" s="5"/>
    </row>
    <row r="25" spans="1:3">
      <c r="A25" s="38" t="s">
        <v>357</v>
      </c>
      <c r="B25" s="4">
        <v>999</v>
      </c>
      <c r="C25" s="5"/>
    </row>
    <row r="26" spans="1:3">
      <c r="A26" s="38" t="s">
        <v>358</v>
      </c>
      <c r="B26" s="4" t="s">
        <v>359</v>
      </c>
      <c r="C26" s="5"/>
    </row>
    <row r="27" spans="1:3">
      <c r="A27" s="38" t="s">
        <v>320</v>
      </c>
      <c r="B27" s="4" t="s">
        <v>360</v>
      </c>
      <c r="C27" s="5"/>
    </row>
    <row r="28" spans="1:3">
      <c r="A28" s="38" t="s">
        <v>361</v>
      </c>
      <c r="B28" s="4" t="s">
        <v>362</v>
      </c>
      <c r="C28" s="5"/>
    </row>
    <row r="29" spans="1:3">
      <c r="A29" s="38" t="s">
        <v>363</v>
      </c>
      <c r="B29" s="4" t="s">
        <v>364</v>
      </c>
      <c r="C29" s="5"/>
    </row>
    <row r="30" spans="1:3">
      <c r="A30" s="38" t="s">
        <v>365</v>
      </c>
      <c r="B30" s="4" t="s">
        <v>364</v>
      </c>
      <c r="C30" s="5"/>
    </row>
    <row r="31" spans="1:3">
      <c r="A31" s="38" t="s">
        <v>366</v>
      </c>
      <c r="B31" s="4" t="s">
        <v>362</v>
      </c>
      <c r="C31" s="5"/>
    </row>
    <row r="32" spans="1:3">
      <c r="A32" s="38" t="s">
        <v>367</v>
      </c>
      <c r="B32" s="4" t="s">
        <v>368</v>
      </c>
      <c r="C32" s="5"/>
    </row>
    <row r="33" spans="1:3">
      <c r="A33" s="38" t="s">
        <v>369</v>
      </c>
      <c r="B33" s="4" t="s">
        <v>348</v>
      </c>
      <c r="C33" s="5"/>
    </row>
    <row r="34" spans="1:3">
      <c r="A34" s="38" t="s">
        <v>370</v>
      </c>
      <c r="B34" s="4" t="s">
        <v>371</v>
      </c>
      <c r="C34" s="5"/>
    </row>
    <row r="35" spans="1:3">
      <c r="A35" s="38" t="s">
        <v>372</v>
      </c>
      <c r="B35" s="4">
        <v>0</v>
      </c>
      <c r="C35" s="5"/>
    </row>
    <row r="36" spans="1:3">
      <c r="A36" s="38" t="s">
        <v>373</v>
      </c>
      <c r="B36" s="4" t="s">
        <v>374</v>
      </c>
      <c r="C36" s="5"/>
    </row>
    <row r="37" spans="1:3">
      <c r="A37" s="38" t="s">
        <v>375</v>
      </c>
      <c r="B37" s="4" t="s">
        <v>337</v>
      </c>
      <c r="C37" s="5"/>
    </row>
    <row r="38" spans="1:3">
      <c r="A38" s="38" t="s">
        <v>376</v>
      </c>
      <c r="B38" s="4" t="s">
        <v>377</v>
      </c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</sheetData>
  <mergeCells>
    <mergeCell ref="A5:B5"/>
  </mergeCells>
  <hyperlinks>
    <hyperlink ref="B9" r:id="rId_hyperlink_1"/>
    <hyperlink ref="B11" r:id="rId_hyperlink_2"/>
    <hyperlink ref="B13" r:id="rId_hyperlink_3"/>
    <hyperlink ref="B15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</sheetPr>
  <dimension ref="A1:J80"/>
  <sheetViews>
    <sheetView tabSelected="0" workbookViewId="0" zoomScale="90" showGridLines="true" showRowColHeaders="1">
      <selection activeCell="A1" sqref="A1:J80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44" customWidth="true" style="0"/>
    <col min="4" max="4" width="13" customWidth="true" style="0"/>
    <col min="5" max="5" width="13" customWidth="true" style="0"/>
    <col min="6" max="6" width="12" customWidth="true" style="0"/>
    <col min="7" max="7" width="16" customWidth="true" style="0"/>
    <col min="8" max="8" width="38" customWidth="true" style="0"/>
    <col min="9" max="9" width="38" customWidth="true" style="0"/>
    <col min="10" max="10" width="16" customWidth="true" style="0"/>
  </cols>
  <sheetData>
    <row r="1" spans="1:10">
      <c r="A1" s="42" t="s">
        <v>378</v>
      </c>
      <c r="B1" s="42" t="s">
        <v>379</v>
      </c>
      <c r="C1" s="42" t="s">
        <v>380</v>
      </c>
      <c r="D1" s="42" t="s">
        <v>381</v>
      </c>
      <c r="E1" s="42" t="s">
        <v>382</v>
      </c>
      <c r="F1" s="42" t="s">
        <v>383</v>
      </c>
      <c r="G1" s="42" t="s">
        <v>384</v>
      </c>
      <c r="H1" s="42" t="s">
        <v>58</v>
      </c>
      <c r="I1" s="42" t="s">
        <v>385</v>
      </c>
      <c r="J1" s="10" t="s">
        <v>59</v>
      </c>
    </row>
    <row r="2" spans="1:10" customHeight="1" ht="50">
      <c r="A2" s="4" t="s">
        <v>386</v>
      </c>
      <c r="B2" s="4" t="s">
        <v>387</v>
      </c>
      <c r="C2" s="4" t="s">
        <v>388</v>
      </c>
      <c r="D2" s="4" t="s">
        <v>386</v>
      </c>
      <c r="E2" s="4" t="s">
        <v>386</v>
      </c>
      <c r="F2" s="4" t="s">
        <v>389</v>
      </c>
      <c r="G2" s="4" t="s">
        <v>386</v>
      </c>
      <c r="H2" s="4" t="s">
        <v>386</v>
      </c>
      <c r="I2" s="4" t="s">
        <v>386</v>
      </c>
      <c r="J2" s="4" t="s">
        <v>390</v>
      </c>
    </row>
    <row r="3" spans="1:10" customHeight="1" ht="5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customHeight="1" ht="5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customHeight="1" ht="5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customHeight="1" ht="5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customHeight="1" ht="5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customHeight="1" ht="5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10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0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10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0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0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spans="1:10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spans="1:10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0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spans="1:10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spans="1:10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spans="1:10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0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spans="1:10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spans="1:10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spans="1:10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spans="1:10">
      <c r="A80" s="15"/>
      <c r="B80" s="15"/>
      <c r="C80" s="15"/>
      <c r="D80" s="15"/>
      <c r="E80" s="15"/>
      <c r="F80" s="15"/>
      <c r="G80" s="15"/>
      <c r="H80" s="15"/>
      <c r="I80" s="15"/>
      <c r="J80" s="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F5396"/>
    <outlinePr summaryBelow="1" summaryRight="1"/>
  </sheetPr>
  <dimension ref="A1:I50"/>
  <sheetViews>
    <sheetView tabSelected="0" workbookViewId="0" zoomScale="90" showGridLines="true" showRowColHeaders="1">
      <selection activeCell="A1" sqref="A1:I50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14" customWidth="true" style="0"/>
    <col min="4" max="4" width="12" customWidth="true" style="0"/>
    <col min="5" max="5" width="12" customWidth="true" style="0"/>
    <col min="6" max="6" width="18" customWidth="true" style="0"/>
    <col min="7" max="7" width="16" customWidth="true" style="0"/>
    <col min="8" max="8" width="14" customWidth="true" style="0"/>
  </cols>
  <sheetData>
    <row r="1" spans="1:9" customHeight="1" ht="18">
      <c r="A1" s="53" t="s">
        <v>391</v>
      </c>
      <c r="B1" s="53"/>
      <c r="C1" s="53"/>
      <c r="D1" s="53"/>
      <c r="E1" s="53"/>
      <c r="F1" s="53"/>
      <c r="G1" s="53"/>
      <c r="H1" s="53"/>
      <c r="I1" s="53"/>
    </row>
    <row r="2" spans="1:9" customHeight="1" ht="18">
      <c r="A2" s="53" t="s">
        <v>392</v>
      </c>
      <c r="B2" s="53"/>
      <c r="C2" s="53"/>
      <c r="D2" s="53"/>
      <c r="E2" s="53"/>
      <c r="F2" s="53"/>
      <c r="G2" s="53"/>
      <c r="H2" s="53"/>
      <c r="I2" s="53"/>
    </row>
    <row r="3" spans="1:9">
      <c r="A3" s="15"/>
      <c r="B3" s="15"/>
      <c r="C3" s="15"/>
      <c r="D3" s="15"/>
      <c r="E3" s="15"/>
      <c r="F3" s="15"/>
      <c r="G3" s="15"/>
      <c r="H3" s="15"/>
      <c r="I3" s="15"/>
    </row>
    <row r="4" spans="1:9">
      <c r="A4" s="43" t="s">
        <v>0</v>
      </c>
      <c r="B4" s="51" t="s">
        <v>1</v>
      </c>
      <c r="C4" s="54"/>
      <c r="D4" s="54"/>
      <c r="E4" s="54"/>
      <c r="F4" s="55" t="s">
        <v>393</v>
      </c>
      <c r="G4" s="54"/>
      <c r="H4" s="15"/>
      <c r="I4" s="15"/>
    </row>
    <row r="5" spans="1:9">
      <c r="A5" s="43" t="s">
        <v>394</v>
      </c>
      <c r="B5" s="51" t="s">
        <v>395</v>
      </c>
      <c r="C5" s="54"/>
      <c r="D5" s="54"/>
      <c r="E5" s="54"/>
      <c r="F5" s="55" t="s">
        <v>396</v>
      </c>
      <c r="G5" s="51">
        <v>55</v>
      </c>
      <c r="H5" s="15"/>
      <c r="I5" s="15"/>
    </row>
    <row r="6" spans="1:9">
      <c r="A6" s="43" t="s">
        <v>397</v>
      </c>
      <c r="B6" s="51" t="s">
        <v>398</v>
      </c>
      <c r="C6" s="54"/>
      <c r="D6" s="54"/>
      <c r="E6" s="54"/>
      <c r="F6" s="43" t="s">
        <v>399</v>
      </c>
      <c r="G6" s="56" t="s">
        <v>400</v>
      </c>
      <c r="H6" s="15"/>
      <c r="I6" s="15"/>
    </row>
    <row r="7" spans="1:9">
      <c r="A7" s="43" t="s">
        <v>401</v>
      </c>
      <c r="B7" s="52" t="s">
        <v>62</v>
      </c>
      <c r="C7" s="54"/>
      <c r="D7" s="54"/>
      <c r="E7" s="54"/>
      <c r="F7" s="43" t="s">
        <v>402</v>
      </c>
      <c r="G7" s="57">
        <f>IF(A14=0,0,C14/A14)</f>
        <v>0</v>
      </c>
      <c r="H7" s="59"/>
      <c r="I7" s="15"/>
    </row>
    <row r="8" spans="1:9">
      <c r="A8" s="43" t="s">
        <v>41</v>
      </c>
      <c r="B8" s="51" t="s">
        <v>42</v>
      </c>
      <c r="C8" s="54"/>
      <c r="D8" s="54"/>
      <c r="E8" s="54"/>
      <c r="F8" s="54"/>
      <c r="G8" s="58"/>
      <c r="H8" s="59"/>
      <c r="I8" s="15"/>
    </row>
    <row r="9" spans="1:9">
      <c r="A9" s="15"/>
      <c r="B9" s="15"/>
      <c r="C9" s="15"/>
      <c r="D9" s="15"/>
      <c r="E9" s="15"/>
      <c r="F9" s="15"/>
      <c r="G9" s="59"/>
      <c r="H9" s="59"/>
      <c r="I9" s="15"/>
    </row>
    <row r="10" spans="1:9">
      <c r="A10" s="15"/>
      <c r="B10" s="15"/>
      <c r="C10" s="15"/>
      <c r="D10" s="15"/>
      <c r="E10" s="15"/>
      <c r="F10" s="15"/>
      <c r="G10" s="59"/>
      <c r="H10" s="59"/>
      <c r="I10" s="15"/>
    </row>
    <row r="11" spans="1:9">
      <c r="A11" s="15"/>
      <c r="B11" s="15"/>
      <c r="C11" s="15"/>
      <c r="D11" s="15"/>
      <c r="E11" s="15"/>
      <c r="F11" s="15"/>
      <c r="G11" s="59"/>
      <c r="H11" s="59"/>
      <c r="I11" s="15"/>
    </row>
    <row r="12" spans="1:9" customHeight="1" ht="21">
      <c r="A12" s="66" t="s">
        <v>403</v>
      </c>
      <c r="B12" s="15"/>
      <c r="C12" s="15"/>
      <c r="D12" s="15"/>
      <c r="E12" s="15"/>
      <c r="F12" s="15"/>
      <c r="G12" s="59"/>
      <c r="H12" s="59"/>
      <c r="I12" s="15"/>
    </row>
    <row r="13" spans="1:9">
      <c r="A13" s="42" t="s">
        <v>404</v>
      </c>
      <c r="B13" s="42" t="s">
        <v>405</v>
      </c>
      <c r="C13" s="42" t="s">
        <v>44</v>
      </c>
      <c r="D13" s="42" t="s">
        <v>45</v>
      </c>
      <c r="E13" s="42" t="s">
        <v>47</v>
      </c>
      <c r="F13" s="42" t="s">
        <v>46</v>
      </c>
      <c r="G13" s="60" t="s">
        <v>406</v>
      </c>
      <c r="H13" s="60" t="s">
        <v>407</v>
      </c>
      <c r="I13" s="15"/>
    </row>
    <row r="14" spans="1:9">
      <c r="A14" s="4">
        <v>55</v>
      </c>
      <c r="B14" s="4">
        <f>C14+D14+E14</f>
        <v>0</v>
      </c>
      <c r="C14" s="4">
        <f>COUNTIF('Test Case'!J8:J62,"Passed")</f>
        <v>0</v>
      </c>
      <c r="D14" s="4">
        <f>COUNTIF('Test Case'!J8:J62,"Fail")</f>
        <v>0</v>
      </c>
      <c r="E14" s="4">
        <f>COUNTIF('Test Case'!J8:J62,"Blocked")</f>
        <v>0</v>
      </c>
      <c r="F14" s="4">
        <f>COUNTIF('Test Case'!J8:J62,"Pending")</f>
        <v>55</v>
      </c>
      <c r="G14" s="61">
        <f>IF(A14=0,0,B14/A14)</f>
        <v>0</v>
      </c>
      <c r="H14" s="61">
        <f>IF(B14=0,0,C14/B14)</f>
        <v>0.9047619047619</v>
      </c>
      <c r="I14" s="15"/>
    </row>
    <row r="15" spans="1:9">
      <c r="A15" s="15"/>
      <c r="B15" s="15"/>
      <c r="C15" s="15"/>
      <c r="D15" s="15"/>
      <c r="E15" s="15"/>
      <c r="F15" s="15"/>
      <c r="G15" s="15"/>
      <c r="H15" s="15"/>
      <c r="I15" s="15"/>
    </row>
    <row r="16" spans="1:9" customHeight="1" ht="21">
      <c r="A16" s="66"/>
      <c r="B16" s="15"/>
      <c r="C16" s="15"/>
      <c r="D16" s="15"/>
      <c r="E16" s="15"/>
      <c r="F16" s="15"/>
      <c r="G16" s="15"/>
      <c r="H16" s="15"/>
      <c r="I16" s="15"/>
    </row>
    <row r="17" spans="1:9">
      <c r="A17" s="44" t="s">
        <v>6</v>
      </c>
      <c r="B17" s="44"/>
      <c r="C17" s="44"/>
      <c r="D17" s="44"/>
      <c r="E17" s="44"/>
      <c r="F17" s="44"/>
      <c r="G17" s="44"/>
      <c r="H17" s="44"/>
      <c r="I17" s="15"/>
    </row>
    <row r="18" spans="1:9">
      <c r="A18" s="45" t="s">
        <v>408</v>
      </c>
      <c r="B18" s="47"/>
      <c r="C18" s="47"/>
      <c r="D18" s="47"/>
      <c r="E18" s="47"/>
      <c r="F18" s="47"/>
      <c r="G18" s="62"/>
      <c r="H18" s="62"/>
      <c r="I18" s="15"/>
    </row>
    <row r="19" spans="1:9">
      <c r="A19" s="45"/>
      <c r="B19" s="47"/>
      <c r="C19" s="47"/>
      <c r="D19" s="47"/>
      <c r="E19" s="47"/>
      <c r="F19" s="47"/>
      <c r="G19" s="62"/>
      <c r="H19" s="65"/>
      <c r="I19" s="15"/>
    </row>
    <row r="20" spans="1:9">
      <c r="A20" s="15"/>
      <c r="B20" s="15"/>
      <c r="C20" s="15"/>
      <c r="D20" s="15"/>
      <c r="E20" s="15"/>
      <c r="F20" s="15"/>
      <c r="G20" s="15"/>
      <c r="H20" s="15"/>
      <c r="I20" s="15"/>
    </row>
    <row r="21" spans="1:9">
      <c r="A21" s="15"/>
      <c r="B21" s="15"/>
      <c r="C21" s="15"/>
      <c r="D21" s="15"/>
      <c r="E21" s="15"/>
      <c r="F21" s="15"/>
      <c r="G21" s="15"/>
      <c r="H21" s="15"/>
      <c r="I21" s="15"/>
    </row>
    <row r="22" spans="1:9" customHeight="1" ht="21">
      <c r="A22" s="66"/>
      <c r="B22" s="15"/>
      <c r="C22" s="15"/>
      <c r="D22" s="15"/>
      <c r="E22" s="15"/>
      <c r="F22" s="15"/>
      <c r="G22" s="15"/>
      <c r="H22" s="15"/>
      <c r="I22" s="15"/>
    </row>
    <row r="23" spans="1:9">
      <c r="A23" s="46"/>
      <c r="B23" s="46"/>
      <c r="C23" s="46"/>
      <c r="D23" s="46"/>
      <c r="E23" s="46"/>
      <c r="F23" s="15"/>
      <c r="G23" s="15"/>
      <c r="H23" s="15"/>
      <c r="I23" s="15"/>
    </row>
    <row r="24" spans="1:9">
      <c r="A24" s="47"/>
      <c r="B24" s="47"/>
      <c r="C24" s="47"/>
      <c r="D24" s="47"/>
      <c r="E24" s="47"/>
      <c r="F24" s="49"/>
      <c r="G24" s="49"/>
      <c r="H24" s="49"/>
      <c r="I24" s="15"/>
    </row>
    <row r="25" spans="1:9">
      <c r="A25" s="15"/>
      <c r="B25" s="15"/>
      <c r="C25" s="15"/>
      <c r="D25" s="15"/>
      <c r="E25" s="15"/>
      <c r="F25" s="15"/>
      <c r="G25" s="63"/>
      <c r="H25" s="63"/>
      <c r="I25" s="15"/>
    </row>
    <row r="26" spans="1:9" customHeight="1" ht="21">
      <c r="A26" s="67"/>
      <c r="B26" s="15"/>
      <c r="C26" s="15"/>
      <c r="D26" s="15"/>
      <c r="E26" s="15"/>
      <c r="F26" s="15"/>
      <c r="G26" s="63"/>
      <c r="H26" s="59"/>
      <c r="I26" s="15"/>
    </row>
    <row r="27" spans="1:9" customHeight="1" ht="64.2">
      <c r="A27" s="48"/>
      <c r="B27" s="48"/>
      <c r="C27" s="48"/>
      <c r="D27" s="48"/>
      <c r="E27" s="15"/>
      <c r="F27" s="15"/>
      <c r="G27" s="15"/>
      <c r="H27" s="15"/>
      <c r="I27" s="15"/>
    </row>
    <row r="28" spans="1:9">
      <c r="A28" s="15"/>
      <c r="B28" s="15"/>
      <c r="C28" s="15"/>
      <c r="D28" s="15"/>
      <c r="E28" s="15"/>
      <c r="F28" s="15"/>
      <c r="G28" s="15"/>
      <c r="H28" s="15"/>
      <c r="I28" s="15"/>
    </row>
    <row r="29" spans="1:9" customHeight="1" ht="21">
      <c r="A29" s="66"/>
      <c r="B29" s="15"/>
      <c r="C29" s="15"/>
      <c r="D29" s="15"/>
      <c r="E29" s="15"/>
      <c r="F29" s="15"/>
      <c r="G29" s="15"/>
      <c r="H29" s="15"/>
      <c r="I29" s="15"/>
    </row>
    <row r="30" spans="1:9">
      <c r="A30" s="15"/>
      <c r="B30" s="15"/>
      <c r="C30" s="15"/>
      <c r="D30" s="15"/>
      <c r="E30" s="15"/>
      <c r="F30" s="15"/>
      <c r="G30" s="15"/>
      <c r="H30" s="15"/>
      <c r="I30" s="15"/>
    </row>
    <row r="31" spans="1:9">
      <c r="A31" s="15"/>
      <c r="B31" s="15"/>
      <c r="C31" s="15"/>
      <c r="D31" s="15"/>
      <c r="E31" s="15"/>
      <c r="F31" s="15"/>
      <c r="G31" s="15"/>
      <c r="H31" s="15"/>
      <c r="I31" s="15"/>
    </row>
    <row r="32" spans="1:9">
      <c r="A32" s="15"/>
      <c r="B32" s="15"/>
      <c r="C32" s="15"/>
      <c r="D32" s="15"/>
      <c r="E32" s="15"/>
      <c r="F32" s="15"/>
      <c r="G32" s="15"/>
      <c r="H32" s="15"/>
      <c r="I32" s="15"/>
    </row>
    <row r="33" spans="1:9">
      <c r="A33" s="15"/>
      <c r="B33" s="15"/>
      <c r="C33" s="15"/>
      <c r="D33" s="15"/>
      <c r="E33" s="15"/>
      <c r="F33" s="15"/>
      <c r="G33" s="15"/>
      <c r="H33" s="15"/>
      <c r="I33" s="15"/>
    </row>
    <row r="34" spans="1:9">
      <c r="A34" s="15"/>
      <c r="B34" s="15"/>
      <c r="C34" s="15"/>
      <c r="D34" s="15"/>
      <c r="E34" s="15"/>
      <c r="F34" s="15"/>
      <c r="G34" s="15"/>
      <c r="H34" s="15"/>
      <c r="I34" s="15"/>
    </row>
    <row r="35" spans="1:9">
      <c r="A35" s="15"/>
      <c r="B35" s="15"/>
      <c r="C35" s="15"/>
      <c r="D35" s="15"/>
      <c r="E35" s="15"/>
      <c r="F35" s="15"/>
      <c r="G35" s="15"/>
      <c r="H35" s="15"/>
      <c r="I35" s="15"/>
    </row>
    <row r="36" spans="1:9">
      <c r="A36" s="49"/>
      <c r="B36" s="49"/>
      <c r="C36" s="49"/>
      <c r="D36" s="49"/>
      <c r="E36" s="49"/>
      <c r="F36" s="49"/>
      <c r="G36" s="49"/>
      <c r="H36" s="49"/>
      <c r="I36" s="15"/>
    </row>
    <row r="37" spans="1:9">
      <c r="A37" s="50"/>
      <c r="B37" s="15"/>
      <c r="C37" s="15"/>
      <c r="D37" s="15"/>
      <c r="E37" s="15"/>
      <c r="F37" s="15"/>
      <c r="G37" s="64"/>
      <c r="H37" s="63"/>
      <c r="I37" s="15"/>
    </row>
    <row r="38" spans="1:9">
      <c r="A38" s="50"/>
      <c r="B38" s="15"/>
      <c r="C38" s="15"/>
      <c r="D38" s="15"/>
      <c r="E38" s="15"/>
      <c r="F38" s="15"/>
      <c r="G38" s="64"/>
      <c r="H38" s="59"/>
      <c r="I38" s="15"/>
    </row>
    <row r="39" spans="1:9">
      <c r="A39" s="15"/>
      <c r="B39" s="15"/>
      <c r="C39" s="15"/>
      <c r="D39" s="15"/>
      <c r="E39" s="15"/>
      <c r="F39" s="15"/>
      <c r="G39" s="15"/>
      <c r="H39" s="15"/>
      <c r="I39" s="15"/>
    </row>
    <row r="40" spans="1:9">
      <c r="A40" s="15"/>
      <c r="B40" s="15"/>
      <c r="C40" s="15"/>
      <c r="D40" s="15"/>
      <c r="E40" s="15"/>
      <c r="F40" s="15"/>
      <c r="G40" s="15"/>
      <c r="H40" s="15"/>
      <c r="I40" s="15"/>
    </row>
    <row r="41" spans="1:9">
      <c r="A41" s="15"/>
      <c r="B41" s="15"/>
      <c r="C41" s="15"/>
      <c r="D41" s="15"/>
      <c r="E41" s="15"/>
      <c r="F41" s="15"/>
      <c r="G41" s="15"/>
      <c r="H41" s="15"/>
      <c r="I41" s="15"/>
    </row>
    <row r="42" spans="1:9">
      <c r="A42" s="15"/>
      <c r="B42" s="15"/>
      <c r="C42" s="15"/>
      <c r="D42" s="15"/>
      <c r="E42" s="15"/>
      <c r="F42" s="15"/>
      <c r="G42" s="15"/>
      <c r="H42" s="15"/>
      <c r="I42" s="15"/>
    </row>
    <row r="43" spans="1:9">
      <c r="A43" s="15"/>
      <c r="B43" s="15"/>
      <c r="C43" s="15"/>
      <c r="D43" s="15"/>
      <c r="E43" s="15"/>
      <c r="F43" s="15"/>
      <c r="G43" s="15"/>
      <c r="H43" s="15"/>
      <c r="I43" s="15"/>
    </row>
    <row r="44" spans="1:9">
      <c r="A44" s="15"/>
      <c r="B44" s="15"/>
      <c r="C44" s="15"/>
      <c r="D44" s="15"/>
      <c r="E44" s="15"/>
      <c r="F44" s="15"/>
      <c r="G44" s="15"/>
      <c r="H44" s="15"/>
      <c r="I44" s="15"/>
    </row>
    <row r="45" spans="1:9">
      <c r="A45" s="15"/>
      <c r="B45" s="15"/>
      <c r="C45" s="15"/>
      <c r="D45" s="15"/>
      <c r="E45" s="15"/>
      <c r="F45" s="15"/>
      <c r="G45" s="15"/>
      <c r="H45" s="15"/>
      <c r="I45" s="15"/>
    </row>
    <row r="46" spans="1:9">
      <c r="A46" s="15"/>
      <c r="B46" s="15"/>
      <c r="C46" s="15"/>
      <c r="D46" s="15"/>
      <c r="E46" s="15"/>
      <c r="F46" s="15"/>
      <c r="G46" s="15"/>
      <c r="H46" s="15"/>
      <c r="I46" s="15"/>
    </row>
    <row r="47" spans="1:9">
      <c r="A47" s="15"/>
      <c r="B47" s="15"/>
      <c r="C47" s="15"/>
      <c r="D47" s="15"/>
      <c r="E47" s="15"/>
      <c r="F47" s="15"/>
      <c r="G47" s="15"/>
      <c r="H47" s="15"/>
      <c r="I47" s="15"/>
    </row>
    <row r="48" spans="1:9">
      <c r="A48" s="15"/>
      <c r="B48" s="15"/>
      <c r="C48" s="15"/>
      <c r="D48" s="15"/>
      <c r="E48" s="15"/>
      <c r="F48" s="15"/>
      <c r="G48" s="15"/>
      <c r="H48" s="15"/>
      <c r="I48" s="15"/>
    </row>
    <row r="49" spans="1:9">
      <c r="A49" s="15"/>
      <c r="B49" s="15"/>
      <c r="C49" s="15"/>
      <c r="D49" s="15"/>
      <c r="E49" s="15"/>
      <c r="F49" s="15"/>
      <c r="G49" s="15"/>
      <c r="H49" s="15"/>
      <c r="I49" s="15"/>
    </row>
    <row r="50" spans="1:9">
      <c r="A50" s="15"/>
      <c r="B50" s="15"/>
      <c r="C50" s="15"/>
      <c r="D50" s="15"/>
      <c r="E50" s="15"/>
      <c r="F50" s="15"/>
      <c r="G50" s="15"/>
      <c r="H50" s="15"/>
      <c r="I50" s="15"/>
    </row>
  </sheetData>
  <mergeCells>
    <mergeCell ref="A1:B1"/>
    <mergeCell ref="A2:B2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G40"/>
  <sheetViews>
    <sheetView tabSelected="1" workbookViewId="0" zoomScale="90" showGridLines="true" showRowColHeaders="1">
      <selection activeCell="A1" sqref="A1:G40"/>
    </sheetView>
  </sheetViews>
  <sheetFormatPr defaultRowHeight="14.4" outlineLevelRow="0" outlineLevelCol="0"/>
  <cols>
    <col min="1" max="1" width="42" customWidth="true" style="1"/>
    <col min="2" max="2" width="60" customWidth="true" style="1"/>
    <col min="3" max="3" width="18" customWidth="true" style="1"/>
    <col min="4" max="4" width="8.88671875" customWidth="true" style="1"/>
    <col min="5" max="5" width="10.33203125" customWidth="true" style="1"/>
    <col min="6" max="6" width="10.33203125" customWidth="true" style="1"/>
    <col min="7" max="7" width="8.88671875" customWidth="true" style="1"/>
  </cols>
  <sheetData>
    <row r="1" spans="1:7">
      <c r="A1" s="42" t="s">
        <v>52</v>
      </c>
      <c r="B1" s="42" t="s">
        <v>409</v>
      </c>
      <c r="C1" s="4"/>
      <c r="D1" s="69"/>
      <c r="E1" s="5"/>
      <c r="F1" s="5"/>
      <c r="G1" s="5"/>
    </row>
    <row r="2" spans="1:7" customHeight="1" ht="62">
      <c r="A2" s="4" t="s">
        <v>10</v>
      </c>
      <c r="B2" s="4" t="s">
        <v>410</v>
      </c>
      <c r="C2" s="4"/>
      <c r="D2" s="69"/>
      <c r="E2" s="15"/>
      <c r="F2" s="69"/>
      <c r="G2" s="15"/>
    </row>
    <row r="3" spans="1:7" customHeight="1" ht="62">
      <c r="A3" s="4" t="s">
        <v>15</v>
      </c>
      <c r="B3" s="4" t="s">
        <v>411</v>
      </c>
      <c r="C3" s="4"/>
      <c r="D3" s="69"/>
      <c r="E3" s="15"/>
      <c r="F3" s="15"/>
      <c r="G3" s="15"/>
    </row>
    <row r="4" spans="1:7" customHeight="1" ht="62">
      <c r="A4" s="4" t="s">
        <v>18</v>
      </c>
      <c r="B4" s="4" t="s">
        <v>412</v>
      </c>
      <c r="C4" s="4"/>
      <c r="D4" s="69"/>
      <c r="E4" s="15"/>
      <c r="F4" s="15"/>
      <c r="G4" s="15"/>
    </row>
    <row r="5" spans="1:7" customHeight="1" ht="62">
      <c r="A5" s="4" t="s">
        <v>21</v>
      </c>
      <c r="B5" s="4" t="s">
        <v>413</v>
      </c>
      <c r="C5" s="4"/>
      <c r="D5" s="69"/>
      <c r="E5" s="15"/>
      <c r="F5" s="15"/>
      <c r="G5" s="15"/>
    </row>
    <row r="6" spans="1:7" customHeight="1" ht="62">
      <c r="A6" s="4" t="s">
        <v>24</v>
      </c>
      <c r="B6" s="4" t="s">
        <v>424</v>
      </c>
      <c r="C6" s="4"/>
      <c r="D6" s="5"/>
      <c r="E6" s="5"/>
      <c r="F6" s="5"/>
      <c r="G6" s="5"/>
    </row>
    <row r="7" spans="1:7" customHeight="1" ht="62">
      <c r="A7" s="4" t="s">
        <v>27</v>
      </c>
      <c r="B7" s="4" t="s">
        <v>425</v>
      </c>
      <c r="C7" s="4"/>
      <c r="D7" s="5"/>
      <c r="E7" s="5"/>
      <c r="F7" s="5"/>
      <c r="G7" s="5"/>
    </row>
    <row r="8" spans="1:7" customHeight="1" ht="62">
      <c r="A8" s="9" t="s">
        <v>30</v>
      </c>
      <c r="B8" s="4" t="s">
        <v>426</v>
      </c>
      <c r="C8" s="4"/>
      <c r="D8" s="5"/>
      <c r="E8" s="5"/>
      <c r="F8" s="5"/>
      <c r="G8" s="5"/>
    </row>
    <row r="9" spans="1:7" customHeight="1" ht="62">
      <c r="A9" s="9" t="s">
        <v>33</v>
      </c>
      <c r="B9" s="9" t="s">
        <v>414</v>
      </c>
      <c r="C9" s="9"/>
      <c r="D9" s="5"/>
      <c r="E9" s="5"/>
      <c r="F9" s="5"/>
      <c r="G9" s="5"/>
    </row>
    <row r="10" spans="1:7" customHeight="1" ht="62">
      <c r="A10" s="4" t="s">
        <v>36</v>
      </c>
      <c r="B10" s="4" t="s">
        <v>415</v>
      </c>
      <c r="C10" s="4"/>
      <c r="D10" s="15"/>
      <c r="E10" s="15"/>
      <c r="F10" s="15"/>
      <c r="G10" s="15"/>
    </row>
    <row r="11" spans="1:7" customHeight="1" ht="57.6">
      <c r="A11" s="4"/>
      <c r="B11" s="4"/>
      <c r="C11" s="4"/>
      <c r="D11" s="15"/>
      <c r="E11" s="15"/>
      <c r="F11" s="15"/>
      <c r="G11" s="15"/>
    </row>
    <row r="12" spans="1:7" customHeight="1" ht="72">
      <c r="A12" s="68" t="s">
        <v>416</v>
      </c>
      <c r="B12" s="68"/>
      <c r="C12" s="68"/>
      <c r="D12" s="15"/>
      <c r="E12" s="15"/>
      <c r="F12" s="15"/>
      <c r="G12" s="15"/>
    </row>
    <row r="13" spans="1:7" customHeight="1" ht="100.8">
      <c r="A13" s="68" t="s">
        <v>417</v>
      </c>
      <c r="B13" s="68" t="s">
        <v>52</v>
      </c>
      <c r="C13" s="68" t="s">
        <v>418</v>
      </c>
      <c r="D13" s="15"/>
      <c r="E13" s="15"/>
      <c r="F13" s="15"/>
      <c r="G13" s="15"/>
    </row>
    <row r="14" spans="1:7" customHeight="1" ht="40.2">
      <c r="A14" s="4" t="s">
        <v>419</v>
      </c>
      <c r="B14" s="4" t="s">
        <v>420</v>
      </c>
      <c r="C14" s="4" t="s">
        <v>421</v>
      </c>
      <c r="D14" s="15"/>
      <c r="E14" s="15"/>
      <c r="F14" s="15"/>
      <c r="G14" s="15"/>
    </row>
    <row r="15" spans="1:7" customHeight="1" ht="28.8">
      <c r="A15" s="4" t="s">
        <v>422</v>
      </c>
      <c r="B15" s="4" t="s">
        <v>423</v>
      </c>
      <c r="C15" s="4" t="s">
        <v>421</v>
      </c>
      <c r="D15" s="15"/>
      <c r="E15" s="15"/>
      <c r="F15" s="15"/>
      <c r="G15" s="15"/>
    </row>
    <row r="16" spans="1:7">
      <c r="A16" s="4" t="s">
        <v>427</v>
      </c>
      <c r="B16" s="4" t="s">
        <v>428</v>
      </c>
      <c r="C16" s="4" t="s">
        <v>429</v>
      </c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</vt:lpstr>
      <vt:lpstr>Test Case</vt:lpstr>
      <vt:lpstr>Test Data</vt:lpstr>
      <vt:lpstr>Bug</vt:lpstr>
      <vt:lpstr>Test Report</vt:lpstr>
      <vt:lpstr>Task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Kurniawan</dc:creator>
  <cp:lastModifiedBy>Rizki Kurniawan</cp:lastModifiedBy>
  <dcterms:created xsi:type="dcterms:W3CDTF">2026-04-28T04:48:11+02:00</dcterms:created>
  <dcterms:modified xsi:type="dcterms:W3CDTF">2026-04-30T11:52:18+02:00</dcterms:modified>
  <dc:title/>
  <dc:description/>
  <dc:subject/>
  <cp:keywords/>
  <cp:category/>
</cp:coreProperties>
</file>